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tables/table6.xml" ContentType="application/vnd.openxmlformats-officedocument.spreadsheetml.table+xml"/>
  <Override PartName="/xl/tables/table8.xml" ContentType="application/vnd.openxmlformats-officedocument.spreadsheetml.table+xml"/>
  <Override PartName="/xl/tables/table7.xml" ContentType="application/vnd.openxmlformats-officedocument.spreadsheetml.table+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xl/tables/table5.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Business &amp; Components" sheetId="2" state="visible" r:id="rId4"/>
    <sheet name="Supplier Universe &amp; Risk" sheetId="3" state="visible" r:id="rId5"/>
    <sheet name="Supplier Score Build" sheetId="4" state="visible" r:id="rId6"/>
    <sheet name="Supplier Network" sheetId="5" state="visible" r:id="rId7"/>
    <sheet name="Excluded &amp; Mismatches" sheetId="6" state="visible" r:id="rId8"/>
    <sheet name="Relationship Evidence" sheetId="7" state="visible" r:id="rId9"/>
    <sheet name="Component Risk" sheetId="8" state="visible" r:id="rId10"/>
    <sheet name="Node Criticality" sheetId="9" state="visible" r:id="rId11"/>
    <sheet name="Event Feed &amp; Alerts" sheetId="10" state="visible" r:id="rId12"/>
    <sheet name="Z01 Flood Exposure" sheetId="11" state="visible" r:id="rId13"/>
    <sheet name="Alternate Supplier Assessment" sheetId="12" state="visible" r:id="rId14"/>
    <sheet name="Scoring &amp; Evidence Rules" sheetId="13" state="visible" r:id="rId15"/>
  </sheets>
  <definedNames>
    <definedName function="false" hidden="true" localSheetId="11" name="_xlnm._FilterDatabase" vbProcedure="false">'Alternate Supplier Assessment'!$A$3:$W$25</definedName>
    <definedName function="false" hidden="true" localSheetId="7" name="_xlnm._FilterDatabase" vbProcedure="false">'Component Risk'!$A$3:$Y$10</definedName>
    <definedName function="false" hidden="true" localSheetId="9" name="_xlnm._FilterDatabase" vbProcedure="false">'Event Feed &amp; Alerts'!$A$3:$P$11</definedName>
    <definedName function="false" hidden="true" localSheetId="5" name="_xlnm._FilterDatabase" vbProcedure="false">'Excluded &amp; Mismatches'!$A$3:$G$14</definedName>
    <definedName function="false" hidden="true" localSheetId="8" name="_xlnm._FilterDatabase" vbProcedure="false">'Node Criticality'!$A$3:$M$28</definedName>
    <definedName function="false" hidden="true" localSheetId="6" name="_xlnm._FilterDatabase" vbProcedure="false">'Relationship Evidence'!$A$3:$H$62</definedName>
    <definedName function="false" hidden="true" localSheetId="12" name="_xlnm._FilterDatabase" vbProcedure="false">'Scoring &amp; Evidence Rules'!$A$3:$E$26</definedName>
    <definedName function="false" hidden="true" localSheetId="0" name="_xlnm._FilterDatabase" vbProcedure="false">'Start Here'!$A$3:$B$17</definedName>
    <definedName function="false" hidden="true" localSheetId="4" name="_xlnm._FilterDatabase" vbProcedure="false">'Supplier Network'!$A$3:$M$43</definedName>
    <definedName function="false" hidden="true" localSheetId="2" name="_xlnm._FilterDatabase" vbProcedure="false">'Supplier Universe &amp; Risk'!$A$3:$Y$33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<sst xmlns="http://schemas.openxmlformats.org/spreadsheetml/2006/main" count="2657" uniqueCount="1347">
  <si>
    <t xml:space="preserve">NOVADRIVE | CLEAN RESEARCH DATA PACK</t>
  </si>
  <si>
    <t xml:space="preserve">Purpose-built for feeding the useful evidence and analysis into an AI dashboard builder. No duplicate dashboard, outreach tracker, or redundant summary sheets.</t>
  </si>
  <si>
    <t xml:space="preserve">Field</t>
  </si>
  <si>
    <t xml:space="preserve">Description</t>
  </si>
  <si>
    <t xml:space="preserve">Purpose</t>
  </si>
  <si>
    <t xml:space="preserve">Compact research data pack for AI/dashboard creation. Includes only core source data, derived risk assessments, event handling, and alternate supplier fitment research.</t>
  </si>
  <si>
    <t xml:space="preserve">How to use</t>
  </si>
  <si>
    <t xml:space="preserve">Use the source evidence and network relationship sheets as the traceable foundation. Use risk score sheets for prioritization. Use alternate fitment separately from supplier risk.</t>
  </si>
  <si>
    <t xml:space="preserve">Core deliverables represented</t>
  </si>
  <si>
    <t xml:space="preserve">Supplier network mapping; supplier risk scorecard; event-based risk alerts; alternate supplier assessment with public evidence; management action context embedded in component risk and alert sheets.</t>
  </si>
  <si>
    <t xml:space="preserve">Source data</t>
  </si>
  <si>
    <t xml:space="preserve">The case workbook is synthetic case data. Relationship Evidence contains evidence IDs, dates, source families, detail, record status, and locators. Public candidate evidence is in Alternate Supplier Assessment.</t>
  </si>
  <si>
    <t xml:space="preserve">Relationship status</t>
  </si>
  <si>
    <t xml:space="preserve">Confirmed = supported by relationship evidence. Inferred = reasonable but not fully established. Unresolved hypothesis = do not treat as a confirmed network link. Excluded / mismatch = do not use as supplier exposure. Excluded / mismatch items are listed in 'Excluded &amp; Mismatches'.</t>
  </si>
  <si>
    <t xml:space="preserve">Allocation caveat</t>
  </si>
  <si>
    <t xml:space="preserve">Supplier allocations are planning/contracted allocations from case evidence, not necessarily realized purchase shares or actual deliveries.</t>
  </si>
  <si>
    <t xml:space="preserve">Event caveat</t>
  </si>
  <si>
    <t xml:space="preserve">EV-001 and EV-002 are the same flood-watch signal; count once. A flood watch does not establish damage or shutdown. EV-003 reports Meridian financing pressure while production continues. EV-004 and EV-009 are entity mismatches. EV-005 is stale. EV-007 is administrative HQ relocation. EV-010 route exposure to Estuary is unconfirmed.</t>
  </si>
  <si>
    <t xml:space="preserve">Risk vs fitment</t>
  </si>
  <si>
    <t xml:space="preserve">Supplier risk score measures vulnerability/exposure. Alternate fitment score estimates plausible capability match based on public evidence. They are different assessments and must not be combined as if they measured the same thing.</t>
  </si>
  <si>
    <t xml:space="preserve">Alternate candidate limitation</t>
  </si>
  <si>
    <t xml:space="preserve">All alternate candidates are initial public-source screens only. Scores do not establish exact interchangeability, available capacity, pricing, qualification, approval, or actual supplier willingness.</t>
  </si>
  <si>
    <t xml:space="preserve">Excluded operational trackers</t>
  </si>
  <si>
    <t xml:space="preserve">Contact logs, sample status, quotation trackers, qualification gate checklists and duplicate dashboard sheets are intentionally excluded because no actual supplier outreach/qualification has occurred and these are not required for the research deliverable.</t>
  </si>
  <si>
    <t xml:space="preserve">Data cut-off</t>
  </si>
  <si>
    <t xml:space="preserve">Event dates and source dates are those in the supplied case data and public-source research captured in the working assessment. Verify live public evidence before final external use.</t>
  </si>
  <si>
    <t xml:space="preserve">v2 revision - what changed</t>
  </si>
  <si>
    <t xml:space="preserve">Network: CommonSpan control rows added (Aster and Boreal share one owner). Risk: supplier score build (new), revenue criticality added to Component Risk, Node Criticality (new). Alerts: EV-001 now matched to all five Z01 facilities incl. Umber and Verdant; Z01 Flood Exposure (new). Alternates: formula-driven scores, access-date and dependency columns, 7 new candidate rows for IonPeak dies, Jade substrates and Meridian film.</t>
  </si>
  <si>
    <t xml:space="preserve">New sheets (v2)</t>
  </si>
  <si>
    <t xml:space="preserve">Excluded &amp; Mismatches; Supplier Score Build; Node Criticality; Z01 Flood Exposure.</t>
  </si>
  <si>
    <t xml:space="preserve">Open items for the team</t>
  </si>
  <si>
    <t xml:space="preserve">1) Original supplier-level weights remain undocumented; headline scores unchanged. 2) Access dates for the 14 original alternate-supplier rows are not recorded: fill the yellow cells after re-checking each URL. 3) Concentration score for M10/M20 (80) not changed despite common ownership: review. 4) PolarSwitch (DOC-078) has no public evidence. 5) Tier-2 alternates are screens; qualification runs through the Tier-1 supplier.</t>
  </si>
  <si>
    <t xml:space="preserve">BUSINESS CONTEXT</t>
  </si>
  <si>
    <t xml:space="preserve">Product ID</t>
  </si>
  <si>
    <t xml:space="preserve">Product Name</t>
  </si>
  <si>
    <t xml:space="preserve">Annual Revenue (USD m)</t>
  </si>
  <si>
    <t xml:space="preserve">Weekly Units</t>
  </si>
  <si>
    <t xml:space="preserve">Primary Manufacturing Footprint</t>
  </si>
  <si>
    <t xml:space="preserve">Management Context</t>
  </si>
  <si>
    <t xml:space="preserve">P1</t>
  </si>
  <si>
    <t xml:space="preserve">DriveCore industrial inverter</t>
  </si>
  <si>
    <t xml:space="preserve">Harbor Works (60%); Plateau Works (40%)</t>
  </si>
  <si>
    <t xml:space="preserve">Use revenue and product footprint as business-criticality context; no supplier spend is provided.</t>
  </si>
  <si>
    <t xml:space="preserve">P2</t>
  </si>
  <si>
    <t xml:space="preserve">ChargeBridge charging power unit</t>
  </si>
  <si>
    <t xml:space="preserve">Harbor Works (30%); Coastal Works (70%)</t>
  </si>
  <si>
    <t xml:space="preserve">P3</t>
  </si>
  <si>
    <t xml:space="preserve">StoreLink storage control cabinet</t>
  </si>
  <si>
    <t xml:space="preserve">Plateau Works (100%)</t>
  </si>
  <si>
    <t xml:space="preserve">COMPONENT CONTEXT</t>
  </si>
  <si>
    <t xml:space="preserve">Component ID</t>
  </si>
  <si>
    <t xml:space="preserve">Component Name</t>
  </si>
  <si>
    <t xml:space="preserve">Key application</t>
  </si>
  <si>
    <t xml:space="preserve">Indicative supplier Qualification Lead Time (Weeks)</t>
  </si>
  <si>
    <t xml:space="preserve">Key Criteria for Alternate Supplier Search</t>
  </si>
  <si>
    <t xml:space="preserve">M10</t>
  </si>
  <si>
    <t xml:space="preserve">Standard power assembly</t>
  </si>
  <si>
    <t xml:space="preserve">Industrial inverter power assembly; IGBT/SiC-capable module integration</t>
  </si>
  <si>
    <t xml:space="preserve">1. Products Using This Component: P1, P3
2. Application / Use Case: Industrial drives / power conversion
3. Supplier Screening Criteria: Search for manufacturers with comparable power-module assembly capability; technical qualification remains required.</t>
  </si>
  <si>
    <t xml:space="preserve">M20</t>
  </si>
  <si>
    <t xml:space="preserve">High-voltage power assembly</t>
  </si>
  <si>
    <t xml:space="preserve">High-voltage power assembly for charging power conversion; IGBT/SiC-capable</t>
  </si>
  <si>
    <t xml:space="preserve">1. Products Using This Component: P2
2. Application / Use Case: EV / industrial charging power conversion
3. Supplier Screening Criteria: Assess voltage/current class, thermal design, quality systems and production scale before treating any candidate as a substitute.</t>
  </si>
  <si>
    <t xml:space="preserve">C10</t>
  </si>
  <si>
    <t xml:space="preserve">Control board</t>
  </si>
  <si>
    <t xml:space="preserve">Industrial control PCB/PCBA with embedded microcontroller and power-control interfaces</t>
  </si>
  <si>
    <t xml:space="preserve">1. Products Using This Component: P1, P2, P3
2. Application / Use Case: Industrial electronics / power control
3. Supplier Screening Criteria: Look for design-and-manufacture capability, industrial quality systems, controller ecosystem and production footprint.</t>
  </si>
  <si>
    <t xml:space="preserve">C20</t>
  </si>
  <si>
    <t xml:space="preserve">DC-link capacitor</t>
  </si>
  <si>
    <t xml:space="preserve">High-energy DC-link film capacitor for power-electronics applications</t>
  </si>
  <si>
    <t xml:space="preserve">1. Products Using This Component: P1, P2
2. Application / Use Case: Inverters / power conversion
3. Supplier Screening Criteria: Fit depends on electrical, thermal, lifetime and packaging requirements; public similarity is only an initial screen.</t>
  </si>
  <si>
    <t xml:space="preserve">H10</t>
  </si>
  <si>
    <t xml:space="preserve">Protective housing</t>
  </si>
  <si>
    <t xml:space="preserve">Machined/fabricated aluminum enclosure for industrial power electronics</t>
  </si>
  <si>
    <t xml:space="preserve">1. Products Using This Component: P1
2. Application / Use Case: Industrial electronics enclosure
3. Supplier Screening Criteria: Assess material, tolerance, environmental protection, tooling and regional manufacturing capability.</t>
  </si>
  <si>
    <t xml:space="preserve">H20</t>
  </si>
  <si>
    <t xml:space="preserve">Cooling assembly</t>
  </si>
  <si>
    <t xml:space="preserve">Thermal-management / liquid-cooling assembly for power electronics</t>
  </si>
  <si>
    <t xml:space="preserve">1. Products Using This Component: P2, P3
2. Application / Use Case: Power electronics thermal management
3. Supplier Screening Criteria: Assess thermal performance, materials, leak/reliability testing, scale and geographic suitability.</t>
  </si>
  <si>
    <t xml:space="preserve">B10</t>
  </si>
  <si>
    <t xml:space="preserve">Battery-monitoring board</t>
  </si>
  <si>
    <t xml:space="preserve">Battery-monitoring/control PCBA with sensing and embedded electronics</t>
  </si>
  <si>
    <t xml:space="preserve">1. Products Using This Component: P3
2. Application / Use Case: Battery systems / energy storage electronics
3. Supplier Screening Criteria: Assess battery-control experience, electronics manufacturing capability, safety/quality systems and production scale.</t>
  </si>
  <si>
    <t xml:space="preserve">SUPPLIER UNIVERSE + INDICATORS + RISK</t>
  </si>
  <si>
    <t xml:space="preserve">One row per entity from the case Supplier Universe, enriched with raw business indicators and available supplier risk score/category. Blank score means no mapped supplier score was assigned.</t>
  </si>
  <si>
    <t xml:space="preserve">Entity ID</t>
  </si>
  <si>
    <t xml:space="preserve">Legal Name</t>
  </si>
  <si>
    <t xml:space="preserve">Entity Type</t>
  </si>
  <si>
    <t xml:space="preserve">Public Capability</t>
  </si>
  <si>
    <t xml:space="preserve">Registered Market</t>
  </si>
  <si>
    <t xml:space="preserve">Registered Zone</t>
  </si>
  <si>
    <t xml:space="preserve">Primary Facility ID</t>
  </si>
  <si>
    <t xml:space="preserve">Primary Facility Name</t>
  </si>
  <si>
    <t xml:space="preserve">Facility Zone</t>
  </si>
  <si>
    <t xml:space="preserve">Facility Role</t>
  </si>
  <si>
    <t xml:space="preserve">Facility Capability</t>
  </si>
  <si>
    <t xml:space="preserve">Other Known Site / Note</t>
  </si>
  <si>
    <t xml:space="preserve">Current Ratio</t>
  </si>
  <si>
    <t xml:space="preserve">Net Debt / EBITDA</t>
  </si>
  <si>
    <t xml:space="preserve">Shipment Timeliness - 3M Avg (%)</t>
  </si>
  <si>
    <t xml:space="preserve">Timeliness Change - Jan To Latest (pp)</t>
  </si>
  <si>
    <t xml:space="preserve">Assurance Gap Index</t>
  </si>
  <si>
    <t xml:space="preserve">Physical Hazard Index</t>
  </si>
  <si>
    <t xml:space="preserve">Logistics Friction Index</t>
  </si>
  <si>
    <t xml:space="preserve">Infrastructure Index</t>
  </si>
  <si>
    <t xml:space="preserve">Supplier Risk Score</t>
  </si>
  <si>
    <t xml:space="preserve">Supplier Risk Category</t>
  </si>
  <si>
    <t xml:space="preserve">Risk Data Completeness</t>
  </si>
  <si>
    <t xml:space="preserve">Relationship Confidence</t>
  </si>
  <si>
    <t xml:space="preserve">Risk Notes</t>
  </si>
  <si>
    <t xml:space="preserve">ORG-247</t>
  </si>
  <si>
    <t xml:space="preserve">Aster Power Assemblies Ltd.</t>
  </si>
  <si>
    <t xml:space="preserve">Manufacturer</t>
  </si>
  <si>
    <t xml:space="preserve">Power assemblies M10/M20</t>
  </si>
  <si>
    <t xml:space="preserve">Norland</t>
  </si>
  <si>
    <t xml:space="preserve">Z02</t>
  </si>
  <si>
    <t xml:space="preserve">SITE-018</t>
  </si>
  <si>
    <t xml:space="preserve">Aster Works</t>
  </si>
  <si>
    <t xml:space="preserve">Manufacturing</t>
  </si>
  <si>
    <t xml:space="preserve">MEDIUM</t>
  </si>
  <si>
    <t xml:space="preserve">High</t>
  </si>
  <si>
    <t xml:space="preserve">Confirmed</t>
  </si>
  <si>
    <t xml:space="preserve">ORG-725</t>
  </si>
  <si>
    <t xml:space="preserve">Boreal Power Systems Ltd.</t>
  </si>
  <si>
    <t xml:space="preserve">Westmere</t>
  </si>
  <si>
    <t xml:space="preserve">Z05</t>
  </si>
  <si>
    <t xml:space="preserve">SITE-025</t>
  </si>
  <si>
    <t xml:space="preserve">Boreal Works</t>
  </si>
  <si>
    <t xml:space="preserve">ORG-119</t>
  </si>
  <si>
    <t xml:space="preserve">Cobalt Control Electronics Ltd.</t>
  </si>
  <si>
    <t xml:space="preserve">Control board C10</t>
  </si>
  <si>
    <t xml:space="preserve">Estara</t>
  </si>
  <si>
    <t xml:space="preserve">Z04</t>
  </si>
  <si>
    <t xml:space="preserve">SITE-032</t>
  </si>
  <si>
    <t xml:space="preserve">Cobalt Works</t>
  </si>
  <si>
    <t xml:space="preserve">HIGH</t>
  </si>
  <si>
    <t xml:space="preserve">ORG-268</t>
  </si>
  <si>
    <t xml:space="preserve">CommonSpan Holdings Ltd.</t>
  </si>
  <si>
    <t xml:space="preserve">Holding company</t>
  </si>
  <si>
    <t xml:space="preserve">SITE-221</t>
  </si>
  <si>
    <t xml:space="preserve">CommonSpan Works</t>
  </si>
  <si>
    <t xml:space="preserve">Office or service</t>
  </si>
  <si>
    <t xml:space="preserve">ORG-922</t>
  </si>
  <si>
    <t xml:space="preserve">Delta Capacitor Works Ltd.</t>
  </si>
  <si>
    <t xml:space="preserve">Capacitor C20</t>
  </si>
  <si>
    <t xml:space="preserve">Z03</t>
  </si>
  <si>
    <t xml:space="preserve">SITE-039</t>
  </si>
  <si>
    <t xml:space="preserve">Delta Works</t>
  </si>
  <si>
    <t xml:space="preserve">ORG-857</t>
  </si>
  <si>
    <t xml:space="preserve">Delta Consumer Plastics Ltd.</t>
  </si>
  <si>
    <t xml:space="preserve">Consumer packaging</t>
  </si>
  <si>
    <t xml:space="preserve">SITE-249</t>
  </si>
  <si>
    <t xml:space="preserve">ORG-786</t>
  </si>
  <si>
    <t xml:space="preserve">Estuary Thermal Systems Ltd.</t>
  </si>
  <si>
    <t xml:space="preserve">Cooling assembly H20</t>
  </si>
  <si>
    <t xml:space="preserve">Talora</t>
  </si>
  <si>
    <t xml:space="preserve">Z06</t>
  </si>
  <si>
    <t xml:space="preserve">SITE-046</t>
  </si>
  <si>
    <t xml:space="preserve">Estuary Works</t>
  </si>
  <si>
    <t xml:space="preserve">ORG-287</t>
  </si>
  <si>
    <t xml:space="preserve">ForgeLine Enclosures Ltd.</t>
  </si>
  <si>
    <t xml:space="preserve">Housing H10</t>
  </si>
  <si>
    <t xml:space="preserve">SITE-053</t>
  </si>
  <si>
    <t xml:space="preserve">ForgeLine Works</t>
  </si>
  <si>
    <t xml:space="preserve">ORG-103</t>
  </si>
  <si>
    <t xml:space="preserve">Grove Battery Controls Ltd.</t>
  </si>
  <si>
    <t xml:space="preserve">Battery monitor B10</t>
  </si>
  <si>
    <t xml:space="preserve">SITE-060</t>
  </si>
  <si>
    <t xml:space="preserve">Grove Works</t>
  </si>
  <si>
    <t xml:space="preserve">LOW</t>
  </si>
  <si>
    <t xml:space="preserve">ORG-328</t>
  </si>
  <si>
    <t xml:space="preserve">Harbor Freight Services Ltd.</t>
  </si>
  <si>
    <t xml:space="preserve">Logistics or intermediary</t>
  </si>
  <si>
    <t xml:space="preserve">Freight forwarding</t>
  </si>
  <si>
    <t xml:space="preserve">Z07</t>
  </si>
  <si>
    <t xml:space="preserve">SITE-242</t>
  </si>
  <si>
    <t xml:space="preserve">Harbor Works</t>
  </si>
  <si>
    <t xml:space="preserve">ORG-176</t>
  </si>
  <si>
    <t xml:space="preserve">HarborSense Electronics Ltd.</t>
  </si>
  <si>
    <t xml:space="preserve">SITE-067</t>
  </si>
  <si>
    <t xml:space="preserve">HarborSense Works</t>
  </si>
  <si>
    <t xml:space="preserve">ORG-309</t>
  </si>
  <si>
    <t xml:space="preserve">Ion Peak Trading Ltd.</t>
  </si>
  <si>
    <t xml:space="preserve">Trade brokerage</t>
  </si>
  <si>
    <t xml:space="preserve">SITE-207</t>
  </si>
  <si>
    <t xml:space="preserve">Ion Works</t>
  </si>
  <si>
    <t xml:space="preserve">ORG-439</t>
  </si>
  <si>
    <t xml:space="preserve">IonPeak Semiconductor Ltd.</t>
  </si>
  <si>
    <t xml:space="preserve">Power semiconductor dies</t>
  </si>
  <si>
    <t xml:space="preserve">Z01</t>
  </si>
  <si>
    <t xml:space="preserve">SITE-074</t>
  </si>
  <si>
    <t xml:space="preserve">IonPeak Works</t>
  </si>
  <si>
    <t xml:space="preserve">SITE-900 - IonPeak Western Development Center (Research and pilot line, Z05)</t>
  </si>
  <si>
    <t xml:space="preserve">CRITICAL</t>
  </si>
  <si>
    <t xml:space="preserve">ORG-445</t>
  </si>
  <si>
    <t xml:space="preserve">Jade Circuits Holdings Ltd.</t>
  </si>
  <si>
    <t xml:space="preserve">SITE-214</t>
  </si>
  <si>
    <t xml:space="preserve">Jade Works</t>
  </si>
  <si>
    <t xml:space="preserve">ORG-453</t>
  </si>
  <si>
    <t xml:space="preserve">Jade Printed Circuits Ltd.</t>
  </si>
  <si>
    <t xml:space="preserve">Printed circuit substrates</t>
  </si>
  <si>
    <t xml:space="preserve">SITE-081</t>
  </si>
  <si>
    <t xml:space="preserve">SITE-901 - Jade Corporate Office (Headquarters only, Z07)</t>
  </si>
  <si>
    <t xml:space="preserve">ORG-728</t>
  </si>
  <si>
    <t xml:space="preserve">Kestrel Microdevices Ltd.</t>
  </si>
  <si>
    <t xml:space="preserve">Microcontrollers</t>
  </si>
  <si>
    <t xml:space="preserve">SITE-088</t>
  </si>
  <si>
    <t xml:space="preserve">Kestrel Works</t>
  </si>
  <si>
    <t xml:space="preserve">ORG-942</t>
  </si>
  <si>
    <t xml:space="preserve">Lumen Magnetics Ltd.</t>
  </si>
  <si>
    <t xml:space="preserve">Magnetic cores</t>
  </si>
  <si>
    <t xml:space="preserve">SITE-095</t>
  </si>
  <si>
    <t xml:space="preserve">Lumen Works</t>
  </si>
  <si>
    <t xml:space="preserve">ORG-210</t>
  </si>
  <si>
    <t xml:space="preserve">Meridian Dielectrics Ltd.</t>
  </si>
  <si>
    <t xml:space="preserve">Dielectric film</t>
  </si>
  <si>
    <t xml:space="preserve">SITE-102</t>
  </si>
  <si>
    <t xml:space="preserve">Meridian Works</t>
  </si>
  <si>
    <t xml:space="preserve">ORG-849</t>
  </si>
  <si>
    <t xml:space="preserve">Nacre Foils Ltd.</t>
  </si>
  <si>
    <t xml:space="preserve">Aluminum foil</t>
  </si>
  <si>
    <t xml:space="preserve">SITE-109</t>
  </si>
  <si>
    <t xml:space="preserve">Nacre Works</t>
  </si>
  <si>
    <t xml:space="preserve">ORG-708</t>
  </si>
  <si>
    <t xml:space="preserve">Orion Ceramics Ltd.</t>
  </si>
  <si>
    <t xml:space="preserve">Ceramic substrates</t>
  </si>
  <si>
    <t xml:space="preserve">SITE-116</t>
  </si>
  <si>
    <t xml:space="preserve">Orion Works</t>
  </si>
  <si>
    <t xml:space="preserve">ORG-274</t>
  </si>
  <si>
    <t xml:space="preserve">Pine Thermal Metals Ltd.</t>
  </si>
  <si>
    <t xml:space="preserve">Thermal metals</t>
  </si>
  <si>
    <t xml:space="preserve">SITE-123</t>
  </si>
  <si>
    <t xml:space="preserve">Pine Works</t>
  </si>
  <si>
    <t xml:space="preserve">ORG-329</t>
  </si>
  <si>
    <t xml:space="preserve">Quartz Alloy Ltd.</t>
  </si>
  <si>
    <t xml:space="preserve">Aluminum alloy</t>
  </si>
  <si>
    <t xml:space="preserve">SITE-130</t>
  </si>
  <si>
    <t xml:space="preserve">Quartz Works</t>
  </si>
  <si>
    <t xml:space="preserve">ORG-469</t>
  </si>
  <si>
    <t xml:space="preserve">Rill Connectors Ltd.</t>
  </si>
  <si>
    <t xml:space="preserve">Connectors</t>
  </si>
  <si>
    <t xml:space="preserve">SITE-137</t>
  </si>
  <si>
    <t xml:space="preserve">Rill Works</t>
  </si>
  <si>
    <t xml:space="preserve">ORG-320</t>
  </si>
  <si>
    <t xml:space="preserve">Solace Optics Ltd.</t>
  </si>
  <si>
    <t xml:space="preserve">Isolation optics</t>
  </si>
  <si>
    <t xml:space="preserve">Z08</t>
  </si>
  <si>
    <t xml:space="preserve">SITE-144</t>
  </si>
  <si>
    <t xml:space="preserve">Solace Works</t>
  </si>
  <si>
    <t xml:space="preserve">ORG-455</t>
  </si>
  <si>
    <t xml:space="preserve">Umber Silicon Carbide Ltd.</t>
  </si>
  <si>
    <t xml:space="preserve">Silicon-carbide wafers</t>
  </si>
  <si>
    <t xml:space="preserve">SITE-158</t>
  </si>
  <si>
    <t xml:space="preserve">Umber Works</t>
  </si>
  <si>
    <t xml:space="preserve">Medium</t>
  </si>
  <si>
    <t xml:space="preserve">Tier-3 link via IonPeak (confirmed). Financial and assurance indicators are blank in the case data, so this score is provisional; missing information is not treated as low risk (see 'Supplier Score Build').</t>
  </si>
  <si>
    <t xml:space="preserve">ORG-736</t>
  </si>
  <si>
    <t xml:space="preserve">Verdant Process Gases Ltd.</t>
  </si>
  <si>
    <t xml:space="preserve">Process gases</t>
  </si>
  <si>
    <t xml:space="preserve">SITE-165</t>
  </si>
  <si>
    <t xml:space="preserve">Verdant Works</t>
  </si>
  <si>
    <t xml:space="preserve">Inference</t>
  </si>
  <si>
    <t xml:space="preserve">Tier-3 link to IonPeak is an inference, not a confirmed relationship. Financial and assurance indicators are blank in the case data, so this score is provisional; missing information is not treated as low risk (see 'Supplier Score Build').</t>
  </si>
  <si>
    <t xml:space="preserve">ORG-873</t>
  </si>
  <si>
    <t xml:space="preserve">Warden Copper Foil Ltd.</t>
  </si>
  <si>
    <t xml:space="preserve">Copper foil</t>
  </si>
  <si>
    <t xml:space="preserve">SITE-172</t>
  </si>
  <si>
    <t xml:space="preserve">Warden Works</t>
  </si>
  <si>
    <t xml:space="preserve">Tier-3 link via Jade. Financial and assurance indicators are blank in the case data, so this score is provisional; missing information is not treated as low risk (see 'Supplier Score Build').</t>
  </si>
  <si>
    <t xml:space="preserve">ORG-179</t>
  </si>
  <si>
    <t xml:space="preserve">Xenon Resin Ltd.</t>
  </si>
  <si>
    <t xml:space="preserve">Resin</t>
  </si>
  <si>
    <t xml:space="preserve">SITE-179</t>
  </si>
  <si>
    <t xml:space="preserve">Xenon Works</t>
  </si>
  <si>
    <t xml:space="preserve">ORG-520</t>
  </si>
  <si>
    <t xml:space="preserve">Yarrow Specialty Minerals Ltd.</t>
  </si>
  <si>
    <t xml:space="preserve">Specialty minerals</t>
  </si>
  <si>
    <t xml:space="preserve">SITE-186</t>
  </si>
  <si>
    <t xml:space="preserve">Yarrow Works</t>
  </si>
  <si>
    <t xml:space="preserve">Tier-3 link via Orion. Financial and assurance indicators are blank in the case data, so this score is provisional; missing information is not treated as low risk (see 'Supplier Score Build').</t>
  </si>
  <si>
    <t xml:space="preserve">ORG-659</t>
  </si>
  <si>
    <t xml:space="preserve">Zenith Polymer Ltd.</t>
  </si>
  <si>
    <t xml:space="preserve">Polymer</t>
  </si>
  <si>
    <t xml:space="preserve">SITE-193</t>
  </si>
  <si>
    <t xml:space="preserve">Zenith Works</t>
  </si>
  <si>
    <t xml:space="preserve">Tier-3 link via Meridian. Financial and assurance indicators are blank in the case data, so this score is provisional; missing information is not treated as low risk (see 'Supplier Score Build').</t>
  </si>
  <si>
    <t xml:space="preserve">SUPPLIER SCORE BUILD  (explainable cross-check of the headline supplier risk score)</t>
  </si>
  <si>
    <t xml:space="preserve">The original supplier-level weights are not documented in the source files and could not be reproduced from the eight raw indicators. This sheet rebuilds an INTRINSIC supplier-condition score from those indicators with stated, editable weights (blue cells). It does not replace the headline score; it shows what the indicators alone explain, and the gap is the part driven by other factors (likely criticality, concentration, network dependence - confirm with the original scorer). Missing pillars default to a prudent 60, never to low risk.</t>
  </si>
  <si>
    <t xml:space="preserve">Parameter</t>
  </si>
  <si>
    <t xml:space="preserve">Value</t>
  </si>
  <si>
    <t xml:space="preserve">Note</t>
  </si>
  <si>
    <t xml:space="preserve">Weight - Financial pillar</t>
  </si>
  <si>
    <t xml:space="preserve">Current ratio and Net Debt/EBITDA</t>
  </si>
  <si>
    <t xml:space="preserve">Weight - Operational pillar</t>
  </si>
  <si>
    <t xml:space="preserve">Shipment timeliness level and Jan-to-latest change</t>
  </si>
  <si>
    <t xml:space="preserve">Weight - Location pillar</t>
  </si>
  <si>
    <t xml:space="preserve">Average of Physical Hazard, Logistics Friction and Infrastructure indices (already 0-100)</t>
  </si>
  <si>
    <t xml:space="preserve">Weight - Assurance pillar</t>
  </si>
  <si>
    <t xml:space="preserve">Assurance Gap Index (0-100)</t>
  </si>
  <si>
    <t xml:space="preserve">Weights check (must equal 1)</t>
  </si>
  <si>
    <t xml:space="preserve">Formula</t>
  </si>
  <si>
    <t xml:space="preserve">Current ratio - best (0 risk)</t>
  </si>
  <si>
    <t xml:space="preserve">Assumption; at or above this scores 0</t>
  </si>
  <si>
    <t xml:space="preserve">Current ratio - worst (100 risk)</t>
  </si>
  <si>
    <t xml:space="preserve">Assumption; at or below this scores 100</t>
  </si>
  <si>
    <t xml:space="preserve">Net Debt/EBITDA - best (0 risk)</t>
  </si>
  <si>
    <t xml:space="preserve">Assumption</t>
  </si>
  <si>
    <t xml:space="preserve">Net Debt/EBITDA - worst (100 risk)</t>
  </si>
  <si>
    <t xml:space="preserve">Timeliness % - best (0 risk)</t>
  </si>
  <si>
    <t xml:space="preserve">Timeliness % - worst (100 risk)</t>
  </si>
  <si>
    <t xml:space="preserve">Timeliness change pp - best (0 risk)</t>
  </si>
  <si>
    <t xml:space="preserve">Timeliness change pp - worst (100 risk)</t>
  </si>
  <si>
    <t xml:space="preserve">Missing-pillar default score</t>
  </si>
  <si>
    <t xml:space="preserve">Missing information is NOT treated as low risk; a blank pillar takes this value and is flagged</t>
  </si>
  <si>
    <t xml:space="preserve">Legend: blue = editable assumption; green = pulled from another sheet; black = formula. Weights and anchors are analyst assumptions for transparency, not values from the case.</t>
  </si>
  <si>
    <t xml:space="preserve">Timeliness 3M Avg (%)</t>
  </si>
  <si>
    <t xml:space="preserve">Timeliness Change (pp)</t>
  </si>
  <si>
    <t xml:space="preserve">Financial pillar (0-100)</t>
  </si>
  <si>
    <t xml:space="preserve">Operational pillar (0-100)</t>
  </si>
  <si>
    <t xml:space="preserve">Location pillar (0-100)</t>
  </si>
  <si>
    <t xml:space="preserve">Assurance pillar (0-100)</t>
  </si>
  <si>
    <t xml:space="preserve">Missing pillars (count)</t>
  </si>
  <si>
    <t xml:space="preserve">Data completeness</t>
  </si>
  <si>
    <t xml:space="preserve">Intrinsic indicator score</t>
  </si>
  <si>
    <t xml:space="preserve">Headline supplier risk score</t>
  </si>
  <si>
    <t xml:space="preserve">Headline risk band</t>
  </si>
  <si>
    <t xml:space="preserve">Gap: headline minus intrinsic</t>
  </si>
  <si>
    <t xml:space="preserve">Rank - headline</t>
  </si>
  <si>
    <t xml:space="preserve">Rank - intrinsic</t>
  </si>
  <si>
    <t xml:space="preserve">Summary checks</t>
  </si>
  <si>
    <t xml:space="preserve">Correlation: headline vs intrinsic score</t>
  </si>
  <si>
    <t xml:space="preserve">Rank correlation (Spearman-style)</t>
  </si>
  <si>
    <t xml:space="preserve">Average gap (headline minus intrinsic)</t>
  </si>
  <si>
    <t xml:space="preserve">Suppliers with at least one defaulted pillar</t>
  </si>
  <si>
    <t xml:space="preserve">Headline-CRITICAL suppliers also in intrinsic top 5</t>
  </si>
  <si>
    <t xml:space="preserve">Reading: high rank agreement means the headline ordering is broadly supported by the raw indicators. The large positive gap shows the headline carries factors beyond these eight columns. Suppliers with blank financial / assurance data (Umber, Verdant, Warden, Xenon, Yarrow, Zenith) are scored on available pillars plus the default, so their scores are provisional.</t>
  </si>
  <si>
    <t xml:space="preserve">RECONSTRUCTED COMPONENT SUPPLIER NETWORK</t>
  </si>
  <si>
    <t xml:space="preserve">One row per component-supplier-tier relationship. Relationship status, allocation, evidence IDs, and caveats are retained. Inferred and unresolved links must not be treated as confirmed. CommonSpan control rows added in v2 (ownership overlay: Aster and Boreal share one owner). Excluded / mismatched entities are listed in 'Excluded &amp; Mismatches'.</t>
  </si>
  <si>
    <t xml:space="preserve">Product(s)</t>
  </si>
  <si>
    <t xml:space="preserve">Tier</t>
  </si>
  <si>
    <t xml:space="preserve">Supplier / Entity</t>
  </si>
  <si>
    <t xml:space="preserve">Supplies To</t>
  </si>
  <si>
    <t xml:space="preserve">Allocation (if known)</t>
  </si>
  <si>
    <t xml:space="preserve">Facility / Site</t>
  </si>
  <si>
    <t xml:space="preserve">Relationship Status</t>
  </si>
  <si>
    <t xml:space="preserve">Risk Category</t>
  </si>
  <si>
    <t xml:space="preserve">Evidence / Source IDs</t>
  </si>
  <si>
    <t xml:space="preserve">Network Interpretation / Caveat</t>
  </si>
  <si>
    <t xml:space="preserve">P1, P3</t>
  </si>
  <si>
    <t xml:space="preserve">Tier 1</t>
  </si>
  <si>
    <t xml:space="preserve">Aster Power Assemblies</t>
  </si>
  <si>
    <t xml:space="preserve">NovaDrive Technologies</t>
  </si>
  <si>
    <t xml:space="preserve">60%</t>
  </si>
  <si>
    <t xml:space="preserve">DOC-001, DOC-002, SHP-00002</t>
  </si>
  <si>
    <t xml:space="preserve">Allocation is planned/contracted, not actual purchase share. Both Tier-1 suppliers are controlled by CommonSpan Holdings (DOC-075), so this split sits inside one ownership group.</t>
  </si>
  <si>
    <t xml:space="preserve">Boreal Power Systems</t>
  </si>
  <si>
    <t xml:space="preserve">40%</t>
  </si>
  <si>
    <t xml:space="preserve">DOC-005, DOC-006, SHP-00025</t>
  </si>
  <si>
    <t xml:space="preserve">Parent (control)</t>
  </si>
  <si>
    <t xml:space="preserve">CommonSpan Holdings</t>
  </si>
  <si>
    <t xml:space="preserve">Controls Aster and Boreal (no direct supply role)</t>
  </si>
  <si>
    <t xml:space="preserve">M10 requirement 100% under common control (Aster 60% + Boreal 40%)</t>
  </si>
  <si>
    <t xml:space="preserve">SITE-221 (office / service)</t>
  </si>
  <si>
    <t xml:space="preserve">Confirmed (ownership only)</t>
  </si>
  <si>
    <t xml:space="preserve">Unscored (holding company)</t>
  </si>
  <si>
    <t xml:space="preserve">DOC-075</t>
  </si>
  <si>
    <t xml:space="preserve">Ownership statement, not a supply statement. Tier-1 diversification for this component is brand-level only: both assemblers share one owner and the same IonPeak die source (DOC-078). Treat as one common-control node for concentration and escalation.</t>
  </si>
  <si>
    <t xml:space="preserve">70%</t>
  </si>
  <si>
    <t xml:space="preserve">DOC-003, DOC-004</t>
  </si>
  <si>
    <t xml:space="preserve">30%</t>
  </si>
  <si>
    <t xml:space="preserve">DOC-007, DOC-008</t>
  </si>
  <si>
    <t xml:space="preserve">M20 requirement 100% under common control (Aster 70% + Boreal 30%)</t>
  </si>
  <si>
    <t xml:space="preserve">P1, P2, P3</t>
  </si>
  <si>
    <t xml:space="preserve">Cobalt Control Electronics</t>
  </si>
  <si>
    <t xml:space="preserve">100%</t>
  </si>
  <si>
    <t xml:space="preserve">DOC-009, DOC-010</t>
  </si>
  <si>
    <t xml:space="preserve">Single direct supplier per relationship evidence.</t>
  </si>
  <si>
    <t xml:space="preserve">P1, P2</t>
  </si>
  <si>
    <t xml:space="preserve">Delta Capacitor Works</t>
  </si>
  <si>
    <t xml:space="preserve">DOC-011, DOC-012</t>
  </si>
  <si>
    <t xml:space="preserve">ForgeLine Enclosures</t>
  </si>
  <si>
    <t xml:space="preserve">DOC-015, DOC-016</t>
  </si>
  <si>
    <t xml:space="preserve">P2, P3</t>
  </si>
  <si>
    <t xml:space="preserve">Estuary Thermal Systems</t>
  </si>
  <si>
    <t xml:space="preserve">DOC-013, DOC-014</t>
  </si>
  <si>
    <t xml:space="preserve">Current production supplier and qualification; allocation is planning signal, not actual deliveries.</t>
  </si>
  <si>
    <t xml:space="preserve">Grove Battery Controls</t>
  </si>
  <si>
    <t xml:space="preserve">80%</t>
  </si>
  <si>
    <t xml:space="preserve">DOC-017, DOC-018</t>
  </si>
  <si>
    <t xml:space="preserve">Allocation is planned/contracted, not actual purchase share.</t>
  </si>
  <si>
    <t xml:space="preserve">HarborSense Electronics</t>
  </si>
  <si>
    <t xml:space="preserve">20%</t>
  </si>
  <si>
    <t xml:space="preserve">DOC-019, DOC-020</t>
  </si>
  <si>
    <t xml:space="preserve">Tier 2</t>
  </si>
  <si>
    <t xml:space="preserve">IonPeak Semiconductor</t>
  </si>
  <si>
    <t xml:space="preserve">Aster and Boreal</t>
  </si>
  <si>
    <t xml:space="preserve">Not stated</t>
  </si>
  <si>
    <t xml:space="preserve">DOC-021, DOC-023, DOC-077, DOC-078</t>
  </si>
  <si>
    <t xml:space="preserve">Shared upstream dependency for M10/M20; do not confuse with Ion Peak Trading Ltd.</t>
  </si>
  <si>
    <t xml:space="preserve">Lumen Magnetics</t>
  </si>
  <si>
    <t xml:space="preserve">DOC-035, DOC-037</t>
  </si>
  <si>
    <t xml:space="preserve">Shared upstream dependency for M10/M20.</t>
  </si>
  <si>
    <t xml:space="preserve">Orion Ceramics</t>
  </si>
  <si>
    <t xml:space="preserve">DOC-043, DOC-045</t>
  </si>
  <si>
    <t xml:space="preserve">Jade Printed Circuits</t>
  </si>
  <si>
    <t xml:space="preserve">Cobalt</t>
  </si>
  <si>
    <t xml:space="preserve">DOC-025, DOC-079</t>
  </si>
  <si>
    <t xml:space="preserve">Also supplies PCB substrates to Grove and HarborSense for B10.</t>
  </si>
  <si>
    <t xml:space="preserve">Kestrel Microdevices</t>
  </si>
  <si>
    <t xml:space="preserve">DOC-031</t>
  </si>
  <si>
    <t xml:space="preserve">Microcontroller upstream dependency.</t>
  </si>
  <si>
    <t xml:space="preserve">Rill Connectors</t>
  </si>
  <si>
    <t xml:space="preserve">DOC-051</t>
  </si>
  <si>
    <t xml:space="preserve">Connector upstream dependency.</t>
  </si>
  <si>
    <t xml:space="preserve">Meridian Dielectrics</t>
  </si>
  <si>
    <t xml:space="preserve">DOC-039</t>
  </si>
  <si>
    <t xml:space="preserve">Financial-pressure event EV-003; production reported to continue.</t>
  </si>
  <si>
    <t xml:space="preserve">Nacre Foils</t>
  </si>
  <si>
    <t xml:space="preserve">DOC-041</t>
  </si>
  <si>
    <t xml:space="preserve">Aluminum foil upstream dependency.</t>
  </si>
  <si>
    <t xml:space="preserve">Quartz Alloy</t>
  </si>
  <si>
    <t xml:space="preserve">DOC-049</t>
  </si>
  <si>
    <t xml:space="preserve">Alder Bauxite link remains unresolved and excluded from confirmed chain.</t>
  </si>
  <si>
    <t xml:space="preserve">Pine Thermal Metals</t>
  </si>
  <si>
    <t xml:space="preserve">DOC-047</t>
  </si>
  <si>
    <t xml:space="preserve">Gulf Arc port event relevance to Estuary is unconfirmed.</t>
  </si>
  <si>
    <t xml:space="preserve">Grove and HarborSense</t>
  </si>
  <si>
    <t xml:space="preserve">DOC-027, DOC-029, DOC-079</t>
  </si>
  <si>
    <t xml:space="preserve">Shared upstream dependency across both direct suppliers and C10.</t>
  </si>
  <si>
    <t xml:space="preserve">Grove</t>
  </si>
  <si>
    <t xml:space="preserve">DOC-033</t>
  </si>
  <si>
    <t xml:space="preserve">Upstream dependency for Grove.</t>
  </si>
  <si>
    <t xml:space="preserve">Tier 3</t>
  </si>
  <si>
    <t xml:space="preserve">Umber Silicon Carbide</t>
  </si>
  <si>
    <t xml:space="preserve">DOC-056</t>
  </si>
  <si>
    <t xml:space="preserve">Financial data incomplete; risk score remains based on supplied scorecard.</t>
  </si>
  <si>
    <t xml:space="preserve">Shared upstream dependency with M10.</t>
  </si>
  <si>
    <t xml:space="preserve">Yarrow Specialty Minerals</t>
  </si>
  <si>
    <t xml:space="preserve">DOC-066</t>
  </si>
  <si>
    <t xml:space="preserve">Shared upstream dependency with M20.</t>
  </si>
  <si>
    <t xml:space="preserve">Verdant Process Gases</t>
  </si>
  <si>
    <t xml:space="preserve">DOC-058</t>
  </si>
  <si>
    <t xml:space="preserve">Inference only; not a confirmed relationship.</t>
  </si>
  <si>
    <t xml:space="preserve">Warden Copper Foil</t>
  </si>
  <si>
    <t xml:space="preserve">DOC-060</t>
  </si>
  <si>
    <t xml:space="preserve">Tier-3 dependency via Jade.</t>
  </si>
  <si>
    <t xml:space="preserve">Xenon Resin</t>
  </si>
  <si>
    <t xml:space="preserve">DOC-064</t>
  </si>
  <si>
    <t xml:space="preserve">Zenith Polymer</t>
  </si>
  <si>
    <t xml:space="preserve">DOC-070</t>
  </si>
  <si>
    <t xml:space="preserve">Upstream of the financially pressured Meridian.</t>
  </si>
  <si>
    <t xml:space="preserve">Shared Tier-3 dependency with C10 via Jade.</t>
  </si>
  <si>
    <t xml:space="preserve">Solace Optics</t>
  </si>
  <si>
    <t xml:space="preserve">Not established</t>
  </si>
  <si>
    <t xml:space="preserve">Unresolved hypothesis</t>
  </si>
  <si>
    <t xml:space="preserve">Unscored</t>
  </si>
  <si>
    <t xml:space="preserve">DOC-085</t>
  </si>
  <si>
    <t xml:space="preserve">Do not include as confirmed supply-chain exposure pending verification.</t>
  </si>
  <si>
    <t xml:space="preserve">Alder Bauxite</t>
  </si>
  <si>
    <t xml:space="preserve">DOC-074, DOC-086</t>
  </si>
  <si>
    <t xml:space="preserve">EXCLUDED, MISMATCHED AND DOWNGRADED ITEMS</t>
  </si>
  <si>
    <t xml:space="preserve">Name look-alikes, role mix-ups, expired awards and unvalidated leads that must not be counted as supplier-network exposure. Kept visible so a reviewer can see what was considered and rejected, and why.</t>
  </si>
  <si>
    <t xml:space="preserve">#</t>
  </si>
  <si>
    <t xml:space="preserve">Item / entity</t>
  </si>
  <si>
    <t xml:space="preserve">Why it can look related</t>
  </si>
  <si>
    <t xml:space="preserve">Why it is excluded or downgraded</t>
  </si>
  <si>
    <t xml:space="preserve">Evidence IDs</t>
  </si>
  <si>
    <t xml:space="preserve">Treatment in this workbook</t>
  </si>
  <si>
    <t xml:space="preserve">Status</t>
  </si>
  <si>
    <t xml:space="preserve">Delta Consumer Plastics (ORG-857)</t>
  </si>
  <si>
    <t xml:space="preserve">Shares the word "Delta" with Delta Capacitor Works (ORG-922).</t>
  </si>
  <si>
    <t xml:space="preserve">Trial retail-packaging memo in 2024 that never became a supply award; ships packaging to an unrelated customer. Different legal entity, site (SITE-249) and product.</t>
  </si>
  <si>
    <t xml:space="preserve">DOC-084; SHP-00438; EV-009</t>
  </si>
  <si>
    <t xml:space="preserve">Not in network. EV-009 rejected as a false positive.</t>
  </si>
  <si>
    <t xml:space="preserve">Excluded / mismatch</t>
  </si>
  <si>
    <t xml:space="preserve">Ion Peak Trading Ltd (ORG-309, REG-NO-4128)</t>
  </si>
  <si>
    <t xml:space="preserve">Near-identical name to IonPeak Semiconductor (ORG-439).</t>
  </si>
  <si>
    <t xml:space="preserve">Unrelated Harbor District broker, not a subsidiary of IonPeak Semiconductor. Not a manufacturer.</t>
  </si>
  <si>
    <t xml:space="preserve">DOC-077; EV-004</t>
  </si>
  <si>
    <t xml:space="preserve">Not in network. EV-004 insolvency filing rejected; no supplier alert raised.</t>
  </si>
  <si>
    <t xml:space="preserve">Harbor Freight Services (ORG-328)</t>
  </si>
  <si>
    <t xml:space="preserve">Named as shipper on SHP-00125 carrying power dies to Aster.</t>
  </si>
  <si>
    <t xml:space="preserve">Freight consolidator / notify party, not a manufacturer. The shipment is consistent with the IonPeak-to-Aster die flow but does not make Harbor Freight a supplier.</t>
  </si>
  <si>
    <t xml:space="preserve">DOC-083; SHP-00125</t>
  </si>
  <si>
    <t xml:space="preserve">Logistics intermediary only; not a supplier node.</t>
  </si>
  <si>
    <t xml:space="preserve">OceanLink Ports</t>
  </si>
  <si>
    <t xml:space="preserve">Appears in port-congestion event EV-010 and manifests.</t>
  </si>
  <si>
    <t xml:space="preserve">Terminal operator, not a component manufacturer.</t>
  </si>
  <si>
    <t xml:space="preserve">DOC-083; EV-010</t>
  </si>
  <si>
    <t xml:space="preserve">Not in network. Route relevance to Estuary stays unconfirmed.</t>
  </si>
  <si>
    <t xml:space="preserve">Delta Capacitor Works as H10 housing supplier</t>
  </si>
  <si>
    <t xml:space="preserve">2022 pilot supplied housings to NovaDrive.</t>
  </si>
  <si>
    <t xml:space="preserve">Housing programme ended 31 Dec 2023. The current Delta award is for C20 capacitors only. H10 is ForgeLine (100%).</t>
  </si>
  <si>
    <t xml:space="preserve">DOC-080</t>
  </si>
  <si>
    <t xml:space="preserve">Expired; not an H10 link.</t>
  </si>
  <si>
    <t xml:space="preserve">Excluded (expired)</t>
  </si>
  <si>
    <t xml:space="preserve">Jade Circuits Holdings (ORG-445) and SITE-901 HQ (Z07)</t>
  </si>
  <si>
    <t xml:space="preserve">Same group as Jade Printed Circuits; EV-007 reports an HQ relocation.</t>
  </si>
  <si>
    <t xml:space="preserve">Accounting parent and registered HQ only. Substrates are made at SITE-081 in Z01. HQ move does not change production.</t>
  </si>
  <si>
    <t xml:space="preserve">DOC-076; EV-007</t>
  </si>
  <si>
    <t xml:space="preserve">Use SITE-081 / Z01 for location risk and events. EV-007 kept as low / monitor.</t>
  </si>
  <si>
    <t xml:space="preserve">Excluded (wrong facility)</t>
  </si>
  <si>
    <t xml:space="preserve">IonPeak SITE-900, Western Ridge (Z05)</t>
  </si>
  <si>
    <t xml:space="preserve">Second IonPeak site that might look like a fallback.</t>
  </si>
  <si>
    <t xml:space="preserve">Research and pilot line on a different process; not a qualified replacement for the production dies made at SITE-074 (Z01).</t>
  </si>
  <si>
    <t xml:space="preserve">DOC-077</t>
  </si>
  <si>
    <t xml:space="preserve">Not a fallback site. Z01 exposure at SITE-074 is not mitigated by SITE-900.</t>
  </si>
  <si>
    <t xml:space="preserve">Excluded (not qualified)</t>
  </si>
  <si>
    <t xml:space="preserve">Alder Bauxite to Quartz Alloy</t>
  </si>
  <si>
    <t xml:space="preserve">Both appear in the same trade-association directory.</t>
  </si>
  <si>
    <t xml:space="preserve">Co-listing only; no purchase, award, product or facility link stated. Quartz does not name its bauxite sources.</t>
  </si>
  <si>
    <t xml:space="preserve">DOC-074; DOC-086</t>
  </si>
  <si>
    <t xml:space="preserve">Research lead only; excluded from confirmed exposure.</t>
  </si>
  <si>
    <t xml:space="preserve">Solace Optics to Grove Battery Controls (B10)</t>
  </si>
  <si>
    <t xml:space="preserve">Sample evaluation completed with Grove.</t>
  </si>
  <si>
    <t xml:space="preserve">No serial-production award announced; no current B10 production link substantiated.</t>
  </si>
  <si>
    <t xml:space="preserve">Held as hypothesis; not scored; not counted as exposure.</t>
  </si>
  <si>
    <t xml:space="preserve">Verdant Process Gases to IonPeak (Tier-3)</t>
  </si>
  <si>
    <t xml:space="preserve">Listed IonPeak among industrial customers; index mentions M10/M20.</t>
  </si>
  <si>
    <t xml:space="preserve">Does not allocate purchases or identify the receiving line; product and continuity scope need validation.</t>
  </si>
  <si>
    <t xml:space="preserve">Retained in network as Inference with caveat; included in Z01 exposure map as inferred.</t>
  </si>
  <si>
    <t xml:space="preserve">Inference (retained)</t>
  </si>
  <si>
    <t xml:space="preserve">CommonSpan Holdings (ORG-268)</t>
  </si>
  <si>
    <t xml:space="preserve">Appears in Supplier Universe like a supplier.</t>
  </si>
  <si>
    <t xml:space="preserve">Holding company with no supply role. Relevant only because it controls Aster and Boreal.</t>
  </si>
  <si>
    <t xml:space="preserve">Shown as ownership overlay (Parent / control) in Supplier Network, unscored.</t>
  </si>
  <si>
    <t xml:space="preserve">Included as control node</t>
  </si>
  <si>
    <t xml:space="preserve">RAW RELATIONSHIP EVIDENCE</t>
  </si>
  <si>
    <t xml:space="preserve">Source-level evidence from the case dataset. Use Evidence ID and Source Family ID to trace network claims and avoid double-counting repeated evidence.</t>
  </si>
  <si>
    <t xml:space="preserve">Evidence ID</t>
  </si>
  <si>
    <t xml:space="preserve">Evidence Date</t>
  </si>
  <si>
    <t xml:space="preserve">Evidence Type</t>
  </si>
  <si>
    <t xml:space="preserve">Source Family ID</t>
  </si>
  <si>
    <t xml:space="preserve">Title / Parties</t>
  </si>
  <si>
    <t xml:space="preserve">Evidence Detail</t>
  </si>
  <si>
    <t xml:space="preserve">Record Status</t>
  </si>
  <si>
    <t xml:space="preserve">Source Locator</t>
  </si>
  <si>
    <t xml:space="preserve">DOC-001</t>
  </si>
  <si>
    <t xml:space="preserve">2025-08-14</t>
  </si>
  <si>
    <t xml:space="preserve">Company program disclosure</t>
  </si>
  <si>
    <t xml:space="preserve">PROG-001</t>
  </si>
  <si>
    <t xml:space="preserve">Aster Power Assemblies / NovaDrive Technologies program disclosure</t>
  </si>
  <si>
    <t xml:space="preserve">Aster Power Assemblies Ltd. has been named a production supplier to NovaDrive Technologies for component M10, used in P1, P3. Production takes place at SITE-018. The award is effective from 1 January 2025 through 31 December 2026. The disclosed contracted allocation is approximately 60% of NovaDrive requirements for this component; this is a planning allocation, not a purchase ledger or guarantee of realized deliveries.</t>
  </si>
  <si>
    <t xml:space="preserve">Current disclosure</t>
  </si>
  <si>
    <t xml:space="preserve">synthetic://evidence/DOC-001</t>
  </si>
  <si>
    <t xml:space="preserve">DOC-002</t>
  </si>
  <si>
    <t xml:space="preserve">2025-06-12</t>
  </si>
  <si>
    <t xml:space="preserve">Qualification register</t>
  </si>
  <si>
    <t xml:space="preserve">QUAL-001</t>
  </si>
  <si>
    <t xml:space="preserve">Production qualification: Aster Power Assemblies to NovaDrive Technologies</t>
  </si>
  <si>
    <t xml:space="preserve">A separate production qualification register names Aster Power Assemblies Ltd., site SITE-018, as qualified for NovaDrive Technologies Ltd. in the M10 program. Serial production approval was granted on 12 June 2025. The qualification remains current at the case cut-off. Registration confirms the approved relationship and site, but is not itself evidence of exclusive supply.</t>
  </si>
  <si>
    <t xml:space="preserve">synthetic://evidence/DOC-002</t>
  </si>
  <si>
    <t xml:space="preserve">DOC-003</t>
  </si>
  <si>
    <t xml:space="preserve">PROG-002</t>
  </si>
  <si>
    <t xml:space="preserve">Aster Power Assemblies Ltd. has been named a production supplier to NovaDrive Technologies for component M20, used in P2. Production takes place at SITE-018. The award is effective from 1 January 2025 through 31 December 2026. The disclosed contracted allocation is approximately 70% of NovaDrive requirements for this component; this is a planning allocation, not a purchase ledger or guarantee of realized deliveries.</t>
  </si>
  <si>
    <t xml:space="preserve">synthetic://evidence/DOC-003</t>
  </si>
  <si>
    <t xml:space="preserve">DOC-004</t>
  </si>
  <si>
    <t xml:space="preserve">QUAL-002</t>
  </si>
  <si>
    <t xml:space="preserve">A separate production qualification register names Aster Power Assemblies Ltd., site SITE-018, as qualified for NovaDrive Technologies Ltd. in the M20 program. Serial production approval was granted on 12 June 2025. The qualification remains current at the case cut-off. Registration confirms the approved relationship and site, but is not itself evidence of exclusive supply.</t>
  </si>
  <si>
    <t xml:space="preserve">synthetic://evidence/DOC-004</t>
  </si>
  <si>
    <t xml:space="preserve">DOC-005</t>
  </si>
  <si>
    <t xml:space="preserve">PROG-003</t>
  </si>
  <si>
    <t xml:space="preserve">Boreal Power Systems / NovaDrive Technologies program disclosure</t>
  </si>
  <si>
    <t xml:space="preserve">Boreal Power Systems Ltd. has been named a production supplier to NovaDrive Technologies for component M10, used in P1, P3. Production takes place at SITE-025. The award is effective from 1 January 2025 through 31 December 2026. The disclosed contracted allocation is approximately 40% of NovaDrive requirements for this component; this is a planning allocation, not a purchase ledger or guarantee of realized deliveries.</t>
  </si>
  <si>
    <t xml:space="preserve">synthetic://evidence/DOC-005</t>
  </si>
  <si>
    <t xml:space="preserve">DOC-006</t>
  </si>
  <si>
    <t xml:space="preserve">QUAL-003</t>
  </si>
  <si>
    <t xml:space="preserve">Production qualification: Boreal Power Systems to NovaDrive Technologies</t>
  </si>
  <si>
    <t xml:space="preserve">A separate production qualification register names Boreal Power Systems Ltd., site SITE-025, as qualified for NovaDrive Technologies Ltd. in the M10 program. Serial production approval was granted on 12 June 2025. The qualification remains current at the case cut-off. Registration confirms the approved relationship and site, but is not itself evidence of exclusive supply.</t>
  </si>
  <si>
    <t xml:space="preserve">synthetic://evidence/DOC-006</t>
  </si>
  <si>
    <t xml:space="preserve">DOC-007</t>
  </si>
  <si>
    <t xml:space="preserve">PROG-004</t>
  </si>
  <si>
    <t xml:space="preserve">Boreal Power Systems Ltd. has been named a production supplier to NovaDrive Technologies for component M20, used in P2. Production takes place at SITE-025. The award is effective from 1 January 2025 through 31 December 2026. The disclosed contracted allocation is approximately 30% of NovaDrive requirements for this component; this is a planning allocation, not a purchase ledger or guarantee of realized deliveries.</t>
  </si>
  <si>
    <t xml:space="preserve">synthetic://evidence/DOC-007</t>
  </si>
  <si>
    <t xml:space="preserve">DOC-008</t>
  </si>
  <si>
    <t xml:space="preserve">QUAL-004</t>
  </si>
  <si>
    <t xml:space="preserve">A separate production qualification register names Boreal Power Systems Ltd., site SITE-025, as qualified for NovaDrive Technologies Ltd. in the M20 program. Serial production approval was granted on 12 June 2025. The qualification remains current at the case cut-off. Registration confirms the approved relationship and site, but is not itself evidence of exclusive supply.</t>
  </si>
  <si>
    <t xml:space="preserve">synthetic://evidence/DOC-008</t>
  </si>
  <si>
    <t xml:space="preserve">DOC-009</t>
  </si>
  <si>
    <t xml:space="preserve">PROG-005</t>
  </si>
  <si>
    <t xml:space="preserve">Cobalt Control Electronics / NovaDrive Technologies program disclosure</t>
  </si>
  <si>
    <t xml:space="preserve">Cobalt Control Electronics Ltd. has been named a production supplier to NovaDrive Technologies for component C10, used in P1, P2, P3. Production takes place at SITE-032. The award is effective from 1 January 2025 through 31 December 2026. The disclosed contracted allocation is approximately 100% of NovaDrive requirements for this component; this is a planning allocation, not a purchase ledger or guarantee of realized deliveries.</t>
  </si>
  <si>
    <t xml:space="preserve">synthetic://evidence/DOC-009</t>
  </si>
  <si>
    <t xml:space="preserve">DOC-010</t>
  </si>
  <si>
    <t xml:space="preserve">QUAL-005</t>
  </si>
  <si>
    <t xml:space="preserve">Production qualification: Cobalt Control Electronics to NovaDrive Technologies</t>
  </si>
  <si>
    <t xml:space="preserve">A separate production qualification register names Cobalt Control Electronics Ltd., site SITE-032, as qualified for NovaDrive Technologies Ltd. in the C10 program. Serial production approval was granted on 12 June 2025. The qualification remains current at the case cut-off. Registration confirms the approved relationship and site, but is not itself evidence of exclusive supply.</t>
  </si>
  <si>
    <t xml:space="preserve">synthetic://evidence/DOC-010</t>
  </si>
  <si>
    <t xml:space="preserve">DOC-011</t>
  </si>
  <si>
    <t xml:space="preserve">PROG-006</t>
  </si>
  <si>
    <t xml:space="preserve">Delta Capacitor Works / NovaDrive Technologies program disclosure</t>
  </si>
  <si>
    <t xml:space="preserve">Delta Capacitor Works Ltd. has been named a production supplier to NovaDrive Technologies for component C20, used in P1, P2. Production takes place at SITE-039. The award is effective from 1 January 2025 through 31 December 2026. The disclosed contracted allocation is approximately 100% of NovaDrive requirements for this component; this is a planning allocation, not a purchase ledger or guarantee of realized deliveries.</t>
  </si>
  <si>
    <t xml:space="preserve">synthetic://evidence/DOC-011</t>
  </si>
  <si>
    <t xml:space="preserve">DOC-012</t>
  </si>
  <si>
    <t xml:space="preserve">QUAL-006</t>
  </si>
  <si>
    <t xml:space="preserve">Production qualification: Delta Capacitor Works to NovaDrive Technologies</t>
  </si>
  <si>
    <t xml:space="preserve">A separate production qualification register names Delta Capacitor Works Ltd., site SITE-039, as qualified for NovaDrive Technologies Ltd. in the C20 program. Serial production approval was granted on 12 June 2025. The qualification remains current at the case cut-off. Registration confirms the approved relationship and site, but is not itself evidence of exclusive supply.</t>
  </si>
  <si>
    <t xml:space="preserve">synthetic://evidence/DOC-012</t>
  </si>
  <si>
    <t xml:space="preserve">DOC-013</t>
  </si>
  <si>
    <t xml:space="preserve">PROG-007</t>
  </si>
  <si>
    <t xml:space="preserve">Estuary Thermal Systems / NovaDrive Technologies program disclosure</t>
  </si>
  <si>
    <t xml:space="preserve">Estuary Thermal Systems Ltd. has been named a production supplier to NovaDrive Technologies for component H20, used in P2, P3. Production takes place at SITE-046. The award is effective from 1 January 2025 through 31 December 2026. The disclosed contracted allocation is approximately 100% of NovaDrive requirements for this component; this is a planning allocation, not a purchase ledger or guarantee of realized deliveries.</t>
  </si>
  <si>
    <t xml:space="preserve">synthetic://evidence/DOC-013</t>
  </si>
  <si>
    <t xml:space="preserve">DOC-014</t>
  </si>
  <si>
    <t xml:space="preserve">QUAL-007</t>
  </si>
  <si>
    <t xml:space="preserve">Production qualification: Estuary Thermal Systems to NovaDrive Technologies</t>
  </si>
  <si>
    <t xml:space="preserve">A separate production qualification register names Estuary Thermal Systems Ltd., site SITE-046, as qualified for NovaDrive Technologies Ltd. in the H20 program. Serial production approval was granted on 12 June 2025. The qualification remains current at the case cut-off. Registration confirms the approved relationship and site, but is not itself evidence of exclusive supply.</t>
  </si>
  <si>
    <t xml:space="preserve">synthetic://evidence/DOC-014</t>
  </si>
  <si>
    <t xml:space="preserve">DOC-015</t>
  </si>
  <si>
    <t xml:space="preserve">PROG-008</t>
  </si>
  <si>
    <t xml:space="preserve">ForgeLine Enclosures / NovaDrive Technologies program disclosure</t>
  </si>
  <si>
    <t xml:space="preserve">ForgeLine Enclosures Ltd. has been named a production supplier to NovaDrive Technologies for component H10, used in P1. Production takes place at SITE-053. The award is effective from 1 January 2025 through 31 December 2026. The disclosed contracted allocation is approximately 100% of NovaDrive requirements for this component; this is a planning allocation, not a purchase ledger or guarantee of realized deliveries.</t>
  </si>
  <si>
    <t xml:space="preserve">synthetic://evidence/DOC-015</t>
  </si>
  <si>
    <t xml:space="preserve">DOC-016</t>
  </si>
  <si>
    <t xml:space="preserve">QUAL-008</t>
  </si>
  <si>
    <t xml:space="preserve">Production qualification: ForgeLine Enclosures to NovaDrive Technologies</t>
  </si>
  <si>
    <t xml:space="preserve">A separate production qualification register names ForgeLine Enclosures Ltd., site SITE-053, as qualified for NovaDrive Technologies Ltd. in the H10 program. Serial production approval was granted on 12 June 2025. The qualification remains current at the case cut-off. Registration confirms the approved relationship and site, but is not itself evidence of exclusive supply.</t>
  </si>
  <si>
    <t xml:space="preserve">synthetic://evidence/DOC-016</t>
  </si>
  <si>
    <t xml:space="preserve">DOC-017</t>
  </si>
  <si>
    <t xml:space="preserve">PROG-009</t>
  </si>
  <si>
    <t xml:space="preserve">Grove Battery Controls / NovaDrive Technologies program disclosure</t>
  </si>
  <si>
    <t xml:space="preserve">Grove Battery Controls Ltd. has been named a production supplier to NovaDrive Technologies for component B10, used in P3. Production takes place at SITE-060. The award is effective from 1 January 2025 through 31 December 2026. The disclosed contracted allocation is approximately 80% of NovaDrive requirements for this component; this is a planning allocation, not a purchase ledger or guarantee of realized deliveries.</t>
  </si>
  <si>
    <t xml:space="preserve">synthetic://evidence/DOC-017</t>
  </si>
  <si>
    <t xml:space="preserve">DOC-018</t>
  </si>
  <si>
    <t xml:space="preserve">QUAL-009</t>
  </si>
  <si>
    <t xml:space="preserve">Production qualification: Grove Battery Controls to NovaDrive Technologies</t>
  </si>
  <si>
    <t xml:space="preserve">A separate production qualification register names Grove Battery Controls Ltd., site SITE-060, as qualified for NovaDrive Technologies Ltd. in the B10 program. Serial production approval was granted on 12 June 2025. The qualification remains current at the case cut-off. Registration confirms the approved relationship and site, but is not itself evidence of exclusive supply.</t>
  </si>
  <si>
    <t xml:space="preserve">synthetic://evidence/DOC-018</t>
  </si>
  <si>
    <t xml:space="preserve">DOC-019</t>
  </si>
  <si>
    <t xml:space="preserve">PROG-010</t>
  </si>
  <si>
    <t xml:space="preserve">HarborSense Electronics / NovaDrive Technologies program disclosure</t>
  </si>
  <si>
    <t xml:space="preserve">HarborSense Electronics Ltd. has been named a production supplier to NovaDrive Technologies for component B10, used in P3. Production takes place at SITE-067. The award is effective from 1 January 2025 through 31 December 2026. The disclosed contracted allocation is approximately 20% of NovaDrive requirements for this component; this is a planning allocation, not a purchase ledger or guarantee of realized deliveries.</t>
  </si>
  <si>
    <t xml:space="preserve">synthetic://evidence/DOC-019</t>
  </si>
  <si>
    <t xml:space="preserve">DOC-020</t>
  </si>
  <si>
    <t xml:space="preserve">QUAL-010</t>
  </si>
  <si>
    <t xml:space="preserve">Production qualification: HarborSense Electronics to NovaDrive Technologies</t>
  </si>
  <si>
    <t xml:space="preserve">A separate production qualification register names HarborSense Electronics Ltd., site SITE-067, as qualified for NovaDrive Technologies Ltd. in the B10 program. Serial production approval was granted on 12 June 2025. The qualification remains current at the case cut-off. Registration confirms the approved relationship and site, but is not itself evidence of exclusive supply.</t>
  </si>
  <si>
    <t xml:space="preserve">synthetic://evidence/DOC-020</t>
  </si>
  <si>
    <t xml:space="preserve">DOC-021</t>
  </si>
  <si>
    <t xml:space="preserve">PROG-011</t>
  </si>
  <si>
    <t xml:space="preserve">IonPeak Semiconductor / Aster Power Assemblies program disclosure</t>
  </si>
  <si>
    <t xml:space="preserve">Aster Power Assemblies Ltd. identifies IonPeak Semiconductor Ltd. as an active production input supplier for its M10/M20 programs. The supplied input is power semiconductor dies, manufactured at SITE-074. The agreement covers production during 2025 and 2026. The disclosure identifies the customer program but does not disclose order volumes, supplier spend or inventory.</t>
  </si>
  <si>
    <t xml:space="preserve">synthetic://evidence/DOC-021</t>
  </si>
  <si>
    <t xml:space="preserve">DOC-023</t>
  </si>
  <si>
    <t xml:space="preserve">PROG-012</t>
  </si>
  <si>
    <t xml:space="preserve">IonPeak Semiconductor / Boreal Power Systems program disclosure</t>
  </si>
  <si>
    <t xml:space="preserve">Boreal Power Systems Ltd. identifies IonPeak Semiconductor Ltd. as an active production input supplier for its M10/M20 programs. The supplied input is power semiconductor dies, manufactured at SITE-074. The agreement covers production during 2025 and 2026. The disclosure identifies the customer program but does not disclose order volumes, supplier spend or inventory.</t>
  </si>
  <si>
    <t xml:space="preserve">synthetic://evidence/DOC-023</t>
  </si>
  <si>
    <t xml:space="preserve">DOC-025</t>
  </si>
  <si>
    <t xml:space="preserve">PROG-013</t>
  </si>
  <si>
    <t xml:space="preserve">Jade Printed Circuits / Cobalt Control Electronics program disclosure</t>
  </si>
  <si>
    <t xml:space="preserve">Cobalt Control Electronics Ltd. identifies Jade Printed Circuits Ltd. as an active production input supplier for its C10 programs. The supplied input is printed circuit substrates, manufactured at SITE-081. The agreement covers production during 2025 and 2026. The disclosure identifies the customer program but does not disclose order volumes, supplier spend or inventory.</t>
  </si>
  <si>
    <t xml:space="preserve">synthetic://evidence/DOC-025</t>
  </si>
  <si>
    <t xml:space="preserve">DOC-027</t>
  </si>
  <si>
    <t xml:space="preserve">PROG-014</t>
  </si>
  <si>
    <t xml:space="preserve">Jade Printed Circuits / Grove Battery Controls program disclosure</t>
  </si>
  <si>
    <t xml:space="preserve">Grove Battery Controls Ltd. identifies Jade Printed Circuits Ltd. as an active production input supplier for its B10 programs. The supplied input is printed circuit substrates, manufactured at SITE-081. The agreement covers production during 2025 and 2026. The disclosure identifies the customer program but does not disclose order volumes, supplier spend or inventory.</t>
  </si>
  <si>
    <t xml:space="preserve">synthetic://evidence/DOC-027</t>
  </si>
  <si>
    <t xml:space="preserve">DOC-029</t>
  </si>
  <si>
    <t xml:space="preserve">PROG-015</t>
  </si>
  <si>
    <t xml:space="preserve">Jade Printed Circuits / HarborSense Electronics program disclosure</t>
  </si>
  <si>
    <t xml:space="preserve">HarborSense Electronics Ltd. identifies Jade Printed Circuits Ltd. as an active production input supplier for its B10 programs. The supplied input is printed circuit substrates, manufactured at SITE-081. The agreement covers production during 2025 and 2026. The disclosure identifies the customer program but does not disclose order volumes, supplier spend or inventory.</t>
  </si>
  <si>
    <t xml:space="preserve">synthetic://evidence/DOC-029</t>
  </si>
  <si>
    <t xml:space="preserve">PROG-016</t>
  </si>
  <si>
    <t xml:space="preserve">Kestrel Microdevices / Cobalt Control Electronics program disclosure</t>
  </si>
  <si>
    <t xml:space="preserve">Cobalt Control Electronics Ltd. identifies Kestrel Microdevices Ltd. as an active production input supplier for its C10 programs. The supplied input is microcontrollers, manufactured at SITE-088. The agreement covers production during 2025 and 2026. The disclosure identifies the customer program but does not disclose order volumes, supplier spend or inventory.</t>
  </si>
  <si>
    <t xml:space="preserve">synthetic://evidence/DOC-031</t>
  </si>
  <si>
    <t xml:space="preserve">PROG-017</t>
  </si>
  <si>
    <t xml:space="preserve">Kestrel Microdevices / Grove Battery Controls program disclosure</t>
  </si>
  <si>
    <t xml:space="preserve">Grove Battery Controls Ltd. identifies Kestrel Microdevices Ltd. as an active production input supplier for its B10 programs. The supplied input is microcontrollers, manufactured at SITE-088. The agreement covers production during 2025 and 2026. The disclosure identifies the customer program but does not disclose order volumes, supplier spend or inventory.</t>
  </si>
  <si>
    <t xml:space="preserve">synthetic://evidence/DOC-033</t>
  </si>
  <si>
    <t xml:space="preserve">DOC-035</t>
  </si>
  <si>
    <t xml:space="preserve">PROG-018</t>
  </si>
  <si>
    <t xml:space="preserve">Lumen Magnetics / Aster Power Assemblies program disclosure</t>
  </si>
  <si>
    <t xml:space="preserve">Aster Power Assemblies Ltd. identifies Lumen Magnetics Ltd. as an active production input supplier for its M10/M20 programs. The supplied input is magnetic cores, manufactured at SITE-095. The agreement covers production during 2025 and 2026. The disclosure identifies the customer program but does not disclose order volumes, supplier spend or inventory.</t>
  </si>
  <si>
    <t xml:space="preserve">synthetic://evidence/DOC-035</t>
  </si>
  <si>
    <t xml:space="preserve">DOC-037</t>
  </si>
  <si>
    <t xml:space="preserve">PROG-019</t>
  </si>
  <si>
    <t xml:space="preserve">Lumen Magnetics / Boreal Power Systems program disclosure</t>
  </si>
  <si>
    <t xml:space="preserve">Boreal Power Systems Ltd. identifies Lumen Magnetics Ltd. as an active production input supplier for its M10/M20 programs. The supplied input is magnetic cores, manufactured at SITE-095. The agreement covers production during 2025 and 2026. The disclosure identifies the customer program but does not disclose order volumes, supplier spend or inventory.</t>
  </si>
  <si>
    <t xml:space="preserve">synthetic://evidence/DOC-037</t>
  </si>
  <si>
    <t xml:space="preserve">PROG-020</t>
  </si>
  <si>
    <t xml:space="preserve">Meridian Dielectrics / Delta Capacitor Works program disclosure</t>
  </si>
  <si>
    <t xml:space="preserve">Delta Capacitor Works Ltd. identifies Meridian Dielectrics Ltd. as an active production input supplier for its C20 programs. The supplied input is dielectric film, manufactured at SITE-102. The agreement covers production during 2025 and 2026. The disclosure identifies the customer program but does not disclose order volumes, supplier spend or inventory.</t>
  </si>
  <si>
    <t xml:space="preserve">synthetic://evidence/DOC-039</t>
  </si>
  <si>
    <t xml:space="preserve">PROG-021</t>
  </si>
  <si>
    <t xml:space="preserve">Nacre Foils / Delta Capacitor Works program disclosure</t>
  </si>
  <si>
    <t xml:space="preserve">Delta Capacitor Works Ltd. identifies Nacre Foils Ltd. as an active production input supplier for its C20 programs. The supplied input is aluminum foil, manufactured at SITE-109. The agreement covers production during 2025 and 2026. The disclosure identifies the customer program but does not disclose order volumes, supplier spend or inventory.</t>
  </si>
  <si>
    <t xml:space="preserve">synthetic://evidence/DOC-041</t>
  </si>
  <si>
    <t xml:space="preserve">DOC-043</t>
  </si>
  <si>
    <t xml:space="preserve">PROG-022</t>
  </si>
  <si>
    <t xml:space="preserve">Orion Ceramics / Aster Power Assemblies program disclosure</t>
  </si>
  <si>
    <t xml:space="preserve">Aster Power Assemblies Ltd. identifies Orion Ceramics Ltd. as an active production input supplier for its M10/M20 programs. The supplied input is ceramic substrates, manufactured at SITE-116. The agreement covers production during 2025 and 2026. The disclosure identifies the customer program but does not disclose order volumes, supplier spend or inventory.</t>
  </si>
  <si>
    <t xml:space="preserve">synthetic://evidence/DOC-043</t>
  </si>
  <si>
    <t xml:space="preserve">DOC-045</t>
  </si>
  <si>
    <t xml:space="preserve">PROG-023</t>
  </si>
  <si>
    <t xml:space="preserve">Orion Ceramics / Boreal Power Systems program disclosure</t>
  </si>
  <si>
    <t xml:space="preserve">Boreal Power Systems Ltd. identifies Orion Ceramics Ltd. as an active production input supplier for its M10/M20 programs. The supplied input is ceramic substrates, manufactured at SITE-116. The agreement covers production during 2025 and 2026. The disclosure identifies the customer program but does not disclose order volumes, supplier spend or inventory.</t>
  </si>
  <si>
    <t xml:space="preserve">synthetic://evidence/DOC-045</t>
  </si>
  <si>
    <t xml:space="preserve">PROG-024</t>
  </si>
  <si>
    <t xml:space="preserve">Pine Thermal Metals / Estuary Thermal Systems program disclosure</t>
  </si>
  <si>
    <t xml:space="preserve">Estuary Thermal Systems Ltd. identifies Pine Thermal Metals Ltd. as an active production input supplier for its H20 programs. The supplied input is thermal metals, manufactured at SITE-123. The agreement covers production during 2025 and 2026. The disclosure identifies the customer program but does not disclose order volumes, supplier spend or inventory.</t>
  </si>
  <si>
    <t xml:space="preserve">synthetic://evidence/DOC-047</t>
  </si>
  <si>
    <t xml:space="preserve">PROG-025</t>
  </si>
  <si>
    <t xml:space="preserve">Quartz Alloy / ForgeLine Enclosures program disclosure</t>
  </si>
  <si>
    <t xml:space="preserve">ForgeLine Enclosures Ltd. identifies Quartz Alloy Ltd. as an active production input supplier for its H10 programs. The supplied input is aluminum alloy, manufactured at SITE-130. The agreement covers production during 2025 and 2026. The disclosure identifies the customer program but does not disclose order volumes, supplier spend or inventory.</t>
  </si>
  <si>
    <t xml:space="preserve">synthetic://evidence/DOC-049</t>
  </si>
  <si>
    <t xml:space="preserve">PROG-026</t>
  </si>
  <si>
    <t xml:space="preserve">Rill Connectors / Cobalt Control Electronics program disclosure</t>
  </si>
  <si>
    <t xml:space="preserve">Cobalt Control Electronics Ltd. identifies Rill Connectors Ltd. as an active production input supplier for its C10 programs. The supplied input is connectors, manufactured at SITE-137. The agreement covers production during 2025 and 2026. The disclosure identifies the customer program but does not disclose order volumes, supplier spend or inventory.</t>
  </si>
  <si>
    <t xml:space="preserve">synthetic://evidence/DOC-051</t>
  </si>
  <si>
    <t xml:space="preserve">PROG-029</t>
  </si>
  <si>
    <t xml:space="preserve">Umber Silicon Carbide / IonPeak Semiconductor program disclosure</t>
  </si>
  <si>
    <t xml:space="preserve">IonPeak Semiconductor Ltd. identifies Umber Silicon Carbide Ltd. as an active production input supplier for its M10/M20 programs. The supplied input is silicon-carbide wafers, manufactured at SITE-158. The agreement covers production during 2025 and 2026. The disclosure identifies the customer program but does not disclose order volumes, supplier spend or inventory.</t>
  </si>
  <si>
    <t xml:space="preserve">synthetic://evidence/DOC-056</t>
  </si>
  <si>
    <t xml:space="preserve">Customer program index</t>
  </si>
  <si>
    <t xml:space="preserve">PROG-030</t>
  </si>
  <si>
    <t xml:space="preserve">Verdant Process Gases / IonPeak Semiconductor program disclosure</t>
  </si>
  <si>
    <t xml:space="preserve">Verdant Process Gases Ltd. lists IonPeak Semiconductor Ltd. among industrial customers. Its published capability is process gases. A customer-program index mentions M10/M20 applications, but does not allocate all purchases or identify the exact receiving line. The production source is reported as SITE-165. This supports a candidate link; product and continuity scope require validation.</t>
  </si>
  <si>
    <t xml:space="preserve">synthetic://evidence/DOC-058</t>
  </si>
  <si>
    <t xml:space="preserve">PROG-031</t>
  </si>
  <si>
    <t xml:space="preserve">Warden Copper Foil / Jade Printed Circuits program disclosure</t>
  </si>
  <si>
    <t xml:space="preserve">Jade Printed Circuits Ltd. identifies Warden Copper Foil Ltd. as an active production input supplier for its C10/B10 programs. The supplied input is copper foil, manufactured at SITE-172. The agreement covers production during 2025 and 2026. The disclosure identifies the customer program but does not disclose order volumes, supplier spend or inventory.</t>
  </si>
  <si>
    <t xml:space="preserve">synthetic://evidence/DOC-060</t>
  </si>
  <si>
    <t xml:space="preserve">PROG-033</t>
  </si>
  <si>
    <t xml:space="preserve">Xenon Resin / Jade Printed Circuits program disclosure</t>
  </si>
  <si>
    <t xml:space="preserve">Jade Printed Circuits Ltd. identifies Xenon Resin Ltd. as an active production input supplier for its C10/B10 programs. The supplied input is resin, manufactured at SITE-179. The agreement covers production during 2025 and 2026. The disclosure identifies the customer program but does not disclose order volumes, supplier spend or inventory.</t>
  </si>
  <si>
    <t xml:space="preserve">synthetic://evidence/DOC-064</t>
  </si>
  <si>
    <t xml:space="preserve">PROG-034</t>
  </si>
  <si>
    <t xml:space="preserve">Yarrow Specialty Minerals / Orion Ceramics program disclosure</t>
  </si>
  <si>
    <t xml:space="preserve">Orion Ceramics Ltd. identifies Yarrow Specialty Minerals Ltd. as an active production input supplier for its M10/M20 programs. The supplied input is specialty minerals, manufactured at SITE-186. The agreement covers production during 2025 and 2026. The disclosure identifies the customer program but does not disclose order volumes, supplier spend or inventory.</t>
  </si>
  <si>
    <t xml:space="preserve">synthetic://evidence/DOC-066</t>
  </si>
  <si>
    <t xml:space="preserve">PROG-036</t>
  </si>
  <si>
    <t xml:space="preserve">Zenith Polymer / Meridian Dielectrics program disclosure</t>
  </si>
  <si>
    <t xml:space="preserve">Meridian Dielectrics Ltd. identifies Zenith Polymer Ltd. as an active production input supplier for its C20 programs. The supplied input is polymer, manufactured at SITE-193. The agreement covers production during 2025 and 2026. The disclosure identifies the customer program but does not disclose order volumes, supplier spend or inventory.</t>
  </si>
  <si>
    <t xml:space="preserve">synthetic://evidence/DOC-070</t>
  </si>
  <si>
    <t xml:space="preserve">DOC-074</t>
  </si>
  <si>
    <t xml:space="preserve">Trade directory</t>
  </si>
  <si>
    <t xml:space="preserve">PROG-038</t>
  </si>
  <si>
    <t xml:space="preserve">Alder Bauxite / Quartz Alloy program disclosure</t>
  </si>
  <si>
    <t xml:space="preserve">Alder Bauxite Ltd. lists the aluminum alloy industry among its target sectors. Quartz Alloy Ltd. appears in the same trade-association membership directory. No purchase relationship, production award, supplied product or facility link is stated. A relationship is a research lead only.</t>
  </si>
  <si>
    <t xml:space="preserve">synthetic://evidence/DOC-074</t>
  </si>
  <si>
    <t xml:space="preserve">2025-09-01</t>
  </si>
  <si>
    <t xml:space="preserve">Corporate registry</t>
  </si>
  <si>
    <t xml:space="preserve">FAM-DOC-075</t>
  </si>
  <si>
    <t xml:space="preserve">CommonSpan consolidation note</t>
  </si>
  <si>
    <t xml:space="preserve">CommonSpan Holdings Ltd. (ORG-268) consolidates Aster Power Assemblies Ltd. and Boreal Power Systems Ltd. as controlled subsidiaries. Separate brands do not imply separate ultimate ownership. This is an ownership statement, not a statement that CommonSpan manufactures or supplies components.</t>
  </si>
  <si>
    <t xml:space="preserve">synthetic://evidence/DOC-075</t>
  </si>
  <si>
    <t xml:space="preserve">DOC-076</t>
  </si>
  <si>
    <t xml:space="preserve">FAM-DOC-076</t>
  </si>
  <si>
    <t xml:space="preserve">Jade corporate structure</t>
  </si>
  <si>
    <t xml:space="preserve">Jade Circuits Holdings Ltd. (ORG-445) is the accounting parent of Jade Printed Circuits Ltd. (ORG-453). The operating plant is SITE-081 in Z01; SITE-901 in Z07 is the registered headquarters and does not manufacture circuit substrates.</t>
  </si>
  <si>
    <t xml:space="preserve">synthetic://evidence/DOC-076</t>
  </si>
  <si>
    <t xml:space="preserve">2025-09-12</t>
  </si>
  <si>
    <t xml:space="preserve">Facility disclosure</t>
  </si>
  <si>
    <t xml:space="preserve">FAM-DOC-077</t>
  </si>
  <si>
    <t xml:space="preserve">IonPeak capacity and qualification statement</t>
  </si>
  <si>
    <t xml:space="preserve">IonPeak Semiconductor Ltd. manufactures the NovaDrive-relevant production power dies at SITE-074 in East Delta (Z01). SITE-900 in Western Ridge is a research and pilot facility using a different process. It is not a qualified replacement for these dies. Ion Peak Trading Ltd., registry REG-NO-4128, is an unrelated broker, not a subsidiary of IonPeak Semiconductor.</t>
  </si>
  <si>
    <t xml:space="preserve">synthetic://evidence/DOC-077</t>
  </si>
  <si>
    <t xml:space="preserve">DOC-078</t>
  </si>
  <si>
    <t xml:space="preserve">2025-09-15</t>
  </si>
  <si>
    <t xml:space="preserve">Joint technical statement</t>
  </si>
  <si>
    <t xml:space="preserve">FAM-DOC-078</t>
  </si>
  <si>
    <t xml:space="preserve">Current power-die sourcing note</t>
  </si>
  <si>
    <t xml:space="preserve">The current M10/M20 programs at both Aster and Boreal use the same qualified IonPeak production die family from SITE-074. No second die source is currently qualified for these programs. A different module assembler therefore does not provide independent die supply. PolarSwitch is a prospective alternative only.</t>
  </si>
  <si>
    <t xml:space="preserve">synthetic://evidence/DOC-078</t>
  </si>
  <si>
    <t xml:space="preserve">DOC-079</t>
  </si>
  <si>
    <t xml:space="preserve">Technical program register</t>
  </si>
  <si>
    <t xml:space="preserve">FAM-DOC-079</t>
  </si>
  <si>
    <t xml:space="preserve">Current circuit-substrate sourcing note</t>
  </si>
  <si>
    <t xml:space="preserve">Cobalt C10 programs and Grove/HarborSense B10 programs currently use Jade substrates from SITE-081. The listed substrate is program-specific. There is no presently qualified independent substrate in the supplied corpus; this is not a claim about all of these companies' products.</t>
  </si>
  <si>
    <t xml:space="preserve">synthetic://evidence/DOC-079</t>
  </si>
  <si>
    <t xml:space="preserve">2022-11-01</t>
  </si>
  <si>
    <t xml:space="preserve">Archive announcement</t>
  </si>
  <si>
    <t xml:space="preserve">FAM-DOC-080</t>
  </si>
  <si>
    <t xml:space="preserve">Archived Delta supplier award</t>
  </si>
  <si>
    <t xml:space="preserve">Delta Capacitor Works supplied housings to NovaDrive under a pilot program in 2022. That housing program ended on 31 December 2023. The current capacitor award is separate. Do not treat the expired housing award as a current H10 supply connection.</t>
  </si>
  <si>
    <t xml:space="preserve">Expired</t>
  </si>
  <si>
    <t xml:space="preserve">synthetic://evidence/DOC-080</t>
  </si>
  <si>
    <t xml:space="preserve">DOC-083</t>
  </si>
  <si>
    <t xml:space="preserve">Logistics directory</t>
  </si>
  <si>
    <t xml:space="preserve">FAM-DOC-083</t>
  </si>
  <si>
    <t xml:space="preserve">Harbor Freight role clarification</t>
  </si>
  <si>
    <t xml:space="preserve">Harbor Freight Services acts as a consolidator or notify party on a number of shipping manifests. It does not manufacture the listed electronics. OceanLink Ports operates a terminal; neither name should automatically be classified as a component manufacturer.</t>
  </si>
  <si>
    <t xml:space="preserve">synthetic://evidence/DOC-083</t>
  </si>
  <si>
    <t xml:space="preserve">DOC-084</t>
  </si>
  <si>
    <t xml:space="preserve">2025-09-20</t>
  </si>
  <si>
    <t xml:space="preserve">Correction notice</t>
  </si>
  <si>
    <t xml:space="preserve">FAM-DOC-084</t>
  </si>
  <si>
    <t xml:space="preserve">Supplier launch correction</t>
  </si>
  <si>
    <t xml:space="preserve">A 2024 memorandum between Delta Consumer Plastics and NovaDrive concerned trial retail packaging, not production electronics. The trial did not convert to a supply award. Similarity of the word Delta does not connect this company to Delta Capacitor Works.</t>
  </si>
  <si>
    <t xml:space="preserve">synthetic://evidence/DOC-084</t>
  </si>
  <si>
    <t xml:space="preserve">2025-09-25</t>
  </si>
  <si>
    <t xml:space="preserve">Company clarification</t>
  </si>
  <si>
    <t xml:space="preserve">FAM-DOC-085</t>
  </si>
  <si>
    <t xml:space="preserve">Solace program clarification</t>
  </si>
  <si>
    <t xml:space="preserve">Solace Optics has completed a sample evaluation with Grove Battery Controls. No serial-production award has been announced. The supplied evidence does not substantiate a current B10 production link. A team may retain this as a hypothesis, but should not assert a confirmed supply relationship.</t>
  </si>
  <si>
    <t xml:space="preserve">synthetic://evidence/DOC-085</t>
  </si>
  <si>
    <t xml:space="preserve">DOC-086</t>
  </si>
  <si>
    <t xml:space="preserve">Company website excerpt</t>
  </si>
  <si>
    <t xml:space="preserve">FAM-DOC-086</t>
  </si>
  <si>
    <t xml:space="preserve">Quartz raw-material sourcing note</t>
  </si>
  <si>
    <t xml:space="preserve">Quartz Alloy confirms integrated alloy processing but does not identify bauxite sources. Its membership of a minerals association is not a supplier declaration. Direct upstream sourcing remains unverified.</t>
  </si>
  <si>
    <t xml:space="preserve">synthetic://evidence/DOC-086</t>
  </si>
  <si>
    <t xml:space="preserve">SHP-00002</t>
  </si>
  <si>
    <t xml:space="preserve">2025-02-07</t>
  </si>
  <si>
    <t xml:space="preserve">Shipment observation</t>
  </si>
  <si>
    <t xml:space="preserve">MANIFEST-BOL-00002</t>
  </si>
  <si>
    <t xml:space="preserve">ASTER POWER ASSEMBLIES -&gt; NOVADRIVE TECHNOLOGIES - IMPORT OPERATIONS</t>
  </si>
  <si>
    <t xml:space="preserve">Shipment observation: shipper 'ASTER POWER ASSEMBLIES' to consignee 'NOVADRIVE TECHNOLOGIES - IMPORT OPERATIONS', origin SITE-018, goods 'M10 / Power assemblies M10/M20', mode Ocean. Weight/cartons are not purchase shares and this extract is partial.</t>
  </si>
  <si>
    <t xml:space="preserve">Observed record</t>
  </si>
  <si>
    <t xml:space="preserve">synthetic://shipments/SHP-00002</t>
  </si>
  <si>
    <t xml:space="preserve">SHP-00025</t>
  </si>
  <si>
    <t xml:space="preserve">2025-01-07</t>
  </si>
  <si>
    <t xml:space="preserve">MANIFEST-BOL-00025</t>
  </si>
  <si>
    <t xml:space="preserve">Boreal Power Systems LTD -&gt; NOVADRIVE TECHNOLOGIES - IMPORT OPERATIONS</t>
  </si>
  <si>
    <t xml:space="preserve">Shipment observation: shipper 'Boreal Power Systems LTD' to consignee 'NOVADRIVE TECHNOLOGIES - IMPORT OPERATIONS', origin SITE-025, goods 'M10 / Power assemblies M10/M20', mode Ocean. Weight/cartons are not purchase shares and this extract is partial.</t>
  </si>
  <si>
    <t xml:space="preserve">synthetic://shipments/SHP-00025</t>
  </si>
  <si>
    <t xml:space="preserve">SHP-00050</t>
  </si>
  <si>
    <t xml:space="preserve">MANIFEST-BOL-00050</t>
  </si>
  <si>
    <t xml:space="preserve">COBALT CONTROL ELECTRONICS -&gt; NOVADRIVE TECHNOLOGIES - IMPORT OPERATIONS</t>
  </si>
  <si>
    <t xml:space="preserve">Shipment observation: shipper 'COBALT CONTROL ELECTRONICS' to consignee 'NOVADRIVE TECHNOLOGIES - IMPORT OPERATIONS', origin SITE-032, goods 'C10 / Control board C10', mode Ocean. Weight/cartons are not purchase shares and this extract is partial.</t>
  </si>
  <si>
    <t xml:space="preserve">synthetic://shipments/SHP-00050</t>
  </si>
  <si>
    <t xml:space="preserve">SHP-00062</t>
  </si>
  <si>
    <t xml:space="preserve">MANIFEST-BOL-00062</t>
  </si>
  <si>
    <t xml:space="preserve">DELTA CAPACITOR WORKS -&gt; NOVADRIVE TECHNOLOGIES - IMPORT OPERATIONS</t>
  </si>
  <si>
    <t xml:space="preserve">Shipment observation: shipper 'DELTA CAPACITOR WORKS' to consignee 'NOVADRIVE TECHNOLOGIES - IMPORT OPERATIONS', origin SITE-039, goods 'C20 / Capacitor C20', mode Ocean. Weight/cartons are not purchase shares and this extract is partial.</t>
  </si>
  <si>
    <t xml:space="preserve">synthetic://shipments/SHP-00062</t>
  </si>
  <si>
    <t xml:space="preserve">SHP-00438</t>
  </si>
  <si>
    <t xml:space="preserve">2025-08-10</t>
  </si>
  <si>
    <t xml:space="preserve">OTHER-34-0</t>
  </si>
  <si>
    <t xml:space="preserve">DELTA CONSUMER PLASTICS -&gt; UNRELATED INDUSTRIAL CUSTOMER</t>
  </si>
  <si>
    <t xml:space="preserve">Shipment observation: shipper 'DELTA CONSUMER PLASTICS' to consignee 'UNRELATED INDUSTRIAL CUSTOMER', origin SITE-249, goods 'Consumer packaging', mode Ocean. Weight/cartons are not purchase shares and this extract is partial.</t>
  </si>
  <si>
    <t xml:space="preserve">synthetic://shipments/SHP-00438</t>
  </si>
  <si>
    <t xml:space="preserve">SHP-00125</t>
  </si>
  <si>
    <t xml:space="preserve">2025-04-07</t>
  </si>
  <si>
    <t xml:space="preserve">MANIFEST-BOL-00125</t>
  </si>
  <si>
    <t xml:space="preserve">HARBOR FREIGHT SERVICES -&gt; Aster Power Assemblies LTD</t>
  </si>
  <si>
    <t xml:space="preserve">Shipment observation: shipper 'HARBOR FREIGHT SERVICES' to consignee 'Aster Power Assemblies LTD', origin Consolidation terminal, goods 'M10;M20 / Power semiconductor dies', mode Ocean. Weight/cartons are not purchase shares and this extract is partial.</t>
  </si>
  <si>
    <t xml:space="preserve">synthetic://shipments/SHP-00125</t>
  </si>
  <si>
    <t xml:space="preserve">COMPONENT / NETWORK RISK SCORECARD</t>
  </si>
  <si>
    <t xml:space="preserve">Derived component-level screening scores and management interpretation. Scores are prioritization indicators, not statistically validated disruption probabilities.</t>
  </si>
  <si>
    <t xml:space="preserve">Component</t>
  </si>
  <si>
    <t xml:space="preserve">Products Affected</t>
  </si>
  <si>
    <t xml:space="preserve">Tier-1 Suppliers / Allocation</t>
  </si>
  <si>
    <t xml:space="preserve">Tier-1 Weighted Risk Score</t>
  </si>
  <si>
    <t xml:space="preserve">Tier-2 Suppliers</t>
  </si>
  <si>
    <t xml:space="preserve">Highest Tier-2 Risk Score</t>
  </si>
  <si>
    <t xml:space="preserve">Tier-3 Suppliers / Relationship Status</t>
  </si>
  <si>
    <t xml:space="preserve">Highest Tier-3 Risk Score</t>
  </si>
  <si>
    <t xml:space="preserve">Concentration / Dependency Score</t>
  </si>
  <si>
    <t xml:space="preserve">Event Exposure Score</t>
  </si>
  <si>
    <t xml:space="preserve">Calculated Component Network Risk Score</t>
  </si>
  <si>
    <t xml:space="preserve">Evidence Confidence</t>
  </si>
  <si>
    <t xml:space="preserve">Relevant Event IDs</t>
  </si>
  <si>
    <t xml:space="preserve">Event / Exposure Interpretation</t>
  </si>
  <si>
    <t xml:space="preserve">Key Shared Dependency</t>
  </si>
  <si>
    <t xml:space="preserve">Qualification Lead Time (weeks)</t>
  </si>
  <si>
    <t xml:space="preserve">Recommended Management Action</t>
  </si>
  <si>
    <t xml:space="preserve">Evidence IDs / Traceability</t>
  </si>
  <si>
    <t xml:space="preserve">Scoring Interpretation</t>
  </si>
  <si>
    <t xml:space="preserve">Revenue Dependent (USD m)</t>
  </si>
  <si>
    <t xml:space="preserve">Share of Total Revenue</t>
  </si>
  <si>
    <t xml:space="preserve">Risk-Weighted Revenue Index (USD m)</t>
  </si>
  <si>
    <t xml:space="preserve">Priority Rank (revenue-weighted)</t>
  </si>
  <si>
    <t xml:space="preserve">Aster Power Assemblies (60%); Boreal Power Systems (40%)</t>
  </si>
  <si>
    <t xml:space="preserve">IonPeak Semiconductor; Lumen Magnetics; Orion Ceramics</t>
  </si>
  <si>
    <t xml:space="preserve">Umber Silicon Carbide (via IonPeak); Yarrow Specialty Minerals (via Orion); Verdant Process Gases (via IonPeak; inferred)</t>
  </si>
  <si>
    <t xml:space="preserve">High for named links; Medium for Verdant inference</t>
  </si>
  <si>
    <t xml:space="preserve">EV-001 / EV-002 (same source family; duplicate signal)</t>
  </si>
  <si>
    <t xml:space="preserve">East Delta flood watch for Z01 overlaps FOUR mapped facilities in this chain: IonPeak (SITE-074), Orion (SITE-116), Umber Silicon Carbide (SITE-158, Tier-3) and Verdant Process Gases (SITE-165, Tier-3, inferred link). A fifth Z01 facility, Jade (SITE-081), sits behind C10/B10. No factory damage or shutdown confirmed; no second die source or alternate IonPeak site is qualified (DOC-077, DOC-078).</t>
  </si>
  <si>
    <t xml:space="preserve">IonPeak, Lumen, Orion shared with M20; upstream exposure can affect P1/P2/P3 across network Aster and Boreal are both controlled by CommonSpan Holdings (DOC-075), so Tier-1 diversification is brand-level only.</t>
  </si>
  <si>
    <t xml:space="preserve">Verify current site status and inventory cover at IonPeak/Orion; validate inferred Verdant link; prepare a shared M10/M20 upstream continuity plan.</t>
  </si>
  <si>
    <t xml:space="preserve">DOC-001, DOC-002, SHP-00002; DOC-005, DOC-006, SHP-00025; DOC-021, DOC-023, DOC-035, DOC-037, DOC-043, DOC-045, DOC-056, DOC-066; DOC-058 (inference)</t>
  </si>
  <si>
    <t xml:space="preserve">Score = weighted average of available indicators: Tier-1 risk 35%, highest Tier-2 risk 25%, highest Tier-3 risk 15%, concentration 15%, event exposure 10%. Missing Tier-3 score weight is redistributed proportionally across available indicators. This is a transparent screening score, not a statistically validated loss probability.</t>
  </si>
  <si>
    <t xml:space="preserve">Aster Power Assemblies (70%); Boreal Power Systems (30%)</t>
  </si>
  <si>
    <t xml:space="preserve">Same Z01 flood-watch exposure across IonPeak, Orion, Umber and Verdant (inferred) facilities; no production interruption confirmed; no second die source or alternate IonPeak site is qualified (DOC-077, DOC-078).</t>
  </si>
  <si>
    <t xml:space="preserve">IonPeak, Lumen, Orion shared with M10; upstream exposure can affect P1/P2/P3 across network Aster and Boreal are both controlled by CommonSpan Holdings (DOC-075), so Tier-1 diversification is brand-level only.</t>
  </si>
  <si>
    <t xml:space="preserve">Check M20 safety stock and supplier continuity plans; assess alternate assembly route and upstream semiconductor contingency. Qualification lead time is long.</t>
  </si>
  <si>
    <t xml:space="preserve">DOC-003, DOC-004; DOC-007, DOC-008; DOC-021, DOC-023, DOC-035, DOC-037, DOC-043, DOC-045, DOC-056, DOC-066; DOC-058 (inference)</t>
  </si>
  <si>
    <t xml:space="preserve">Cobalt Control Electronics (100%)</t>
  </si>
  <si>
    <t xml:space="preserve">Jade Printed Circuits; Kestrel Microdevices; Rill Connectors</t>
  </si>
  <si>
    <t xml:space="preserve">Warden Copper Foil (via Jade); Xenon Resin (via Jade)</t>
  </si>
  <si>
    <t xml:space="preserve">High for named links</t>
  </si>
  <si>
    <t xml:space="preserve">EV-001 / EV-002; EV-007 (HQ move is not production disruption)</t>
  </si>
  <si>
    <t xml:space="preserve">Jade production site is in the flood-watch zone; no damage/shutdown confirmed. Jade HQ relocation is administrative and production remains at East Delta.</t>
  </si>
  <si>
    <t xml:space="preserve">Jade also supports B10, creating cross-component common-mode exposure</t>
  </si>
  <si>
    <t xml:space="preserve">Build continuity plan for Cobalt and Jade; verify Jade facility status and inventory; initiate alternate PCB/PCBA feasibility review.</t>
  </si>
  <si>
    <t xml:space="preserve">DOC-009, DOC-010, DOC-025, DOC-031, DOC-051, DOC-060, DOC-064, DOC-079</t>
  </si>
  <si>
    <t xml:space="preserve">Delta Capacitor Works (100%)</t>
  </si>
  <si>
    <t xml:space="preserve">Meridian Dielectrics; Nacre Foils</t>
  </si>
  <si>
    <t xml:space="preserve">Zenith Polymer (via Meridian)</t>
  </si>
  <si>
    <t xml:space="preserve">EV-003; EV-009 excluded as wrong entity</t>
  </si>
  <si>
    <t xml:space="preserve">Meridian reported covenant negotiations and delayed payments to two trade creditors; production continues. EV-009 concerns Delta Consumer Plastics, not Delta Capacitor Works.</t>
  </si>
  <si>
    <t xml:space="preserve">Meridian and Zenith are upstream of a single direct supplier pathway</t>
  </si>
  <si>
    <t xml:space="preserve">Escalate Meridian financial monitoring; verify production, payment terms, allocation and inventory; confirm Delta’s contingency plan and screen alternate capacitor sources.</t>
  </si>
  <si>
    <t xml:space="preserve">DOC-011, DOC-012, DOC-039, DOC-041, DOC-070</t>
  </si>
  <si>
    <t xml:space="preserve">ForgeLine Enclosures (100%)</t>
  </si>
  <si>
    <t xml:space="preserve">Alder Bauxite (unresolved hypothesis only; not included in confirmed network)</t>
  </si>
  <si>
    <t xml:space="preserve">High for ForgeLine/Quartz links; Low/Unresolved for Alder hypothesis</t>
  </si>
  <si>
    <t xml:space="preserve">No relevant current event established; EV-009 is a different entity</t>
  </si>
  <si>
    <t xml:space="preserve">No direct event-to-production impact established. Alder Bauxite link remains unresolved and must not be treated as confirmed.</t>
  </si>
  <si>
    <t xml:space="preserve">Single direct source ForgeLine; no confirmed Tier-3 relationship</t>
  </si>
  <si>
    <t xml:space="preserve">Verify capacity, tooling ownership, recovery options and alternate fabricators; do not include Alder Bauxite in confirmed exposure until evidence is found.</t>
  </si>
  <si>
    <t xml:space="preserve">DOC-015, DOC-016, DOC-049; DOC-074, DOC-086 (unresolved hypothesis)</t>
  </si>
  <si>
    <t xml:space="preserve">Estuary Thermal Systems (100%)</t>
  </si>
  <si>
    <t xml:space="preserve">EV-010 (route exposure unconfirmed)</t>
  </si>
  <si>
    <t xml:space="preserve">Gulf Arc departures have average terminal delays of three days; shipment-specific exposure and connection to Estuary are not assessed.</t>
  </si>
  <si>
    <t xml:space="preserve">Single direct source Estuary; route exposure from EV-010 is unverified</t>
  </si>
  <si>
    <t xml:space="preserve">Check Estuary shipping lanes, open orders, buffer stock and route alternatives; assess second-source feasibility. Do not assume EV-010 affects Estuary until route evidence is checked.</t>
  </si>
  <si>
    <t xml:space="preserve">DOC-013, DOC-014, DOC-047</t>
  </si>
  <si>
    <t xml:space="preserve">Grove Battery Controls (80%); HarborSense Electronics (20%)</t>
  </si>
  <si>
    <t xml:space="preserve">Jade Printed Circuits (via Grove and HarborSense); Kestrel Microdevices (via Grove)</t>
  </si>
  <si>
    <t xml:space="preserve">Warden Copper Foil (via Jade); Xenon Resin (via Jade); Solace Optics (unresolved hypothesis via Grove)</t>
  </si>
  <si>
    <t xml:space="preserve">High for named links; Low/Unresolved for Solace hypothesis</t>
  </si>
  <si>
    <t xml:space="preserve">EV-001 / EV-002; EV-007 (HQ relocation only)</t>
  </si>
  <si>
    <t xml:space="preserve">Both direct suppliers rely on Jade for PCB substrates, creating a common upstream dependency; Jade’s production site is in Z01 flood-watch area, with no damage/shutdown confirmed.</t>
  </si>
  <si>
    <t xml:space="preserve">Jade is shared with C10 and is used by both Grove and HarborSense</t>
  </si>
  <si>
    <t xml:space="preserve">Treat Jade as common-mode exposure across C10 and B10; verify PCB substrate cover and alternatives; validate Solace before including it in the confirmed network.</t>
  </si>
  <si>
    <t xml:space="preserve">DOC-017, DOC-018, DOC-019, DOC-020, DOC-027, DOC-029, DOC-033, DOC-060, DOC-064, DOC-079; DOC-085 (unresolved hypothesis)</t>
  </si>
  <si>
    <t xml:space="preserve">Revenue criticality (added v2): Revenue Dependent = product revenue (Business &amp; Components) of every product that uses the component. Risk-Weighted Revenue Index = network risk score / 100 x revenue dependent. It is a prioritisation index that blends exposure with business criticality, not an expected loss, because no supplier spend or purchase data is provided. The network risk score in column L is unchanged.</t>
  </si>
  <si>
    <t xml:space="preserve">NODE CRITICALITY  (which entities carry the most revenue and risk)</t>
  </si>
  <si>
    <t xml:space="preserve">Every entity in the reconstructed network, with the products it ultimately reaches and the product revenue that depends on it (revenue pulled from Business &amp; Components). Risk-weighted index = supplier risk score / 100 x revenue dependent: a prioritisation aid, not a loss estimate (no supplier spend is available). Unresolved hypotheses and excluded entities are not included.</t>
  </si>
  <si>
    <t xml:space="preserve">Entity</t>
  </si>
  <si>
    <t xml:space="preserve">Network role</t>
  </si>
  <si>
    <t xml:space="preserve">Components fed</t>
  </si>
  <si>
    <t xml:space="preserve">Products reached</t>
  </si>
  <si>
    <t xml:space="preserve">Revenue dependent (USD m)</t>
  </si>
  <si>
    <t xml:space="preserve">Share of total revenue</t>
  </si>
  <si>
    <t xml:space="preserve">Supplier risk score</t>
  </si>
  <si>
    <t xml:space="preserve">Risk band</t>
  </si>
  <si>
    <t xml:space="preserve">Risk-weighted revenue index (USD m)</t>
  </si>
  <si>
    <t xml:space="preserve">Rank</t>
  </si>
  <si>
    <t xml:space="preserve">Reading</t>
  </si>
  <si>
    <t xml:space="preserve">M10, M20</t>
  </si>
  <si>
    <t xml:space="preserve">Sole qualified die source for both Aster and Boreal; Z01 exposure; revenue reach is all three products. No alternate die source or site is qualified.</t>
  </si>
  <si>
    <t xml:space="preserve">C10, B10</t>
  </si>
  <si>
    <t xml:space="preserve">Single substrate source behind C10 (all products) and both B10 suppliers; Z01 plant; no qualified independent substrate.</t>
  </si>
  <si>
    <t xml:space="preserve">Tier-3 behind IonPeak; Z01; financial data blank (provisional score).</t>
  </si>
  <si>
    <t xml:space="preserve">Inferred link only (DOC-058); Z01; validate before relying on it.</t>
  </si>
  <si>
    <t xml:space="preserve">100% single source for C10 across all three products.</t>
  </si>
  <si>
    <t xml:space="preserve">Highest supplier risk in the network (financial stress); sole film route for C20; production reported continuing (EV-003).</t>
  </si>
  <si>
    <t xml:space="preserve">40% / 30% of M10 / M20 planning allocation.</t>
  </si>
  <si>
    <t xml:space="preserve">60% / 70% of M10 / M20 planning allocation.</t>
  </si>
  <si>
    <t xml:space="preserve">Control overlay: owns both M10/M20 assemblers. Unscored holding company.</t>
  </si>
  <si>
    <t xml:space="preserve">EVENT FEED + MATCHING / ALERT DISPOSITION</t>
  </si>
  <si>
    <t xml:space="preserve">Raw event records combined with relevance matching, component mapping, priority, action, and false-positive/duplicate controls. Use source family and entity/site matching to avoid false alerts.</t>
  </si>
  <si>
    <t xml:space="preserve">Event ID</t>
  </si>
  <si>
    <t xml:space="preserve">Published At</t>
  </si>
  <si>
    <t xml:space="preserve">Effective At</t>
  </si>
  <si>
    <t xml:space="preserve">Title</t>
  </si>
  <si>
    <t xml:space="preserve">Event Detail</t>
  </si>
  <si>
    <t xml:space="preserve">Source Type</t>
  </si>
  <si>
    <t xml:space="preserve">Matched Entity / Geography</t>
  </si>
  <si>
    <t xml:space="preserve">Match Result</t>
  </si>
  <si>
    <t xml:space="preserve">Affected Component(s)</t>
  </si>
  <si>
    <t xml:space="preserve">Affected Product(s)</t>
  </si>
  <si>
    <t xml:space="preserve">Alert Priority</t>
  </si>
  <si>
    <t xml:space="preserve">Management Alert</t>
  </si>
  <si>
    <t xml:space="preserve">Required Verification / Next Action</t>
  </si>
  <si>
    <t xml:space="preserve">False Positive / Duplication Control</t>
  </si>
  <si>
    <t xml:space="preserve">Alert Source Family ID</t>
  </si>
  <si>
    <t xml:space="preserve">EV-001</t>
  </si>
  <si>
    <t xml:space="preserve">2025-09-23</t>
  </si>
  <si>
    <t xml:space="preserve">East Delta flood watch</t>
  </si>
  <si>
    <t xml:space="preserve">The East Delta authority issues a flood watch for Z01. No factory damage or shutdown is confirmed.</t>
  </si>
  <si>
    <t xml:space="preserve">WX-0923</t>
  </si>
  <si>
    <t xml:space="preserve">Report</t>
  </si>
  <si>
    <t xml:space="preserve">Z01 (East Delta) - five mapped facilities: IonPeak Semiconductor SITE-074; Orion Ceramics SITE-116; Jade Printed Circuits SITE-081; Umber Silicon Carbide SITE-158 (Tier-3 via IonPeak); Verdant Process Gases SITE-165 (Tier-3, inferred link). See 'Z01 Flood Exposure'.</t>
  </si>
  <si>
    <t xml:space="preserve">Geographic match on 5 facilities (4 confirmed, 1 inferred); no damage confirmed</t>
  </si>
  <si>
    <t xml:space="preserve">M10, M20, C10, B10</t>
  </si>
  <si>
    <t xml:space="preserve">Flood watch overlaps the whole IonPeak die chain (die, SiC wafer and process-gas facilities all sit in Z01) plus Orion (ceramics) and Jade (PCB substrates). Together these sit behind every product in scope (P1, P2, P3: USD 1,560m revenue dependent). No second die source and no qualified alternate IonPeak site exist (DOC-077, DOC-078), and Jade substrates have no qualified independent source (DOC-079), so a site outage could not be absorbed by switching suppliers. No factory damage or shutdown is confirmed; this is a preparedness alert, not a disruption declaration.</t>
  </si>
  <si>
    <t xml:space="preserve">Verify each of the five facility locations against Z01; ask IonPeak, Orion and Jade for site status, access, utilities, inventory cover and recovery estimate; ask IonPeak about wafer (Umber) and gas (Verdant) cover; check open-order exposure at Aster, Boreal, Cobalt, Grove and HarborSense.</t>
  </si>
  <si>
    <t xml:space="preserve">EV-002 is a republication of the same authority bulletin; count as one signal, not two.</t>
  </si>
  <si>
    <t xml:space="preserve">EV-002</t>
  </si>
  <si>
    <t xml:space="preserve">Trade-wire repeats flood watch</t>
  </si>
  <si>
    <t xml:space="preserve">This article republishes the same East Delta authority bulletin as EV-001. It adds no independent evidence.</t>
  </si>
  <si>
    <t xml:space="preserve">Same Z01 flood-watch bulletin as EV-001</t>
  </si>
  <si>
    <t xml:space="preserve">Duplicate of EV-001; no incremental evidence</t>
  </si>
  <si>
    <t xml:space="preserve">INFORMATIONAL / DUPLICATE</t>
  </si>
  <si>
    <t xml:space="preserve">No separate alert should be raised. Attach the report to EV-001 as a duplicate supporting mention only.</t>
  </si>
  <si>
    <t xml:space="preserve">Link to parent event EV-001 and retain source trail.</t>
  </si>
  <si>
    <t xml:space="preserve">Same Source Family ID WX-0923.</t>
  </si>
  <si>
    <t xml:space="preserve">EV-003</t>
  </si>
  <si>
    <t xml:space="preserve">2025-09-24</t>
  </si>
  <si>
    <t xml:space="preserve">Meridian financing pressure</t>
  </si>
  <si>
    <t xml:space="preserve">Meridian Dielectrics reports covenant negotiations and delayed payments to two trade creditors; production continues.</t>
  </si>
  <si>
    <t xml:space="preserve">MD-FIN-0924</t>
  </si>
  <si>
    <t xml:space="preserve">Exact entity match; production reported continuing</t>
  </si>
  <si>
    <t xml:space="preserve">Meridian is a critical upstream supplier for C20. Covenant negotiations and delayed payments could threaten continuity even though production is currently reported to continue.</t>
  </si>
  <si>
    <t xml:space="preserve">Escalate supplier financial monitoring; verify production schedule, inventory, credit terms, raw-material cover, allocation and Delta Capacitor Works contingency options.</t>
  </si>
  <si>
    <t xml:space="preserve">Do not describe this as a shutdown or insolvency; event says production continues.</t>
  </si>
  <si>
    <t xml:space="preserve">EV-004</t>
  </si>
  <si>
    <t xml:space="preserve">Ion Peak Trading insolvency filing</t>
  </si>
  <si>
    <t xml:space="preserve">Ion Peak Trading Ltd., REG-NO-4128, enters restructuring. The company is a broker in Harbor District, not IonPeak Semiconductor.</t>
  </si>
  <si>
    <t xml:space="preserve">IPT-0925</t>
  </si>
  <si>
    <t xml:space="preserve">Ion Peak Trading Ltd., REG-NO-4128</t>
  </si>
  <si>
    <t xml:space="preserve">Entity mismatch; not IonPeak Semiconductor</t>
  </si>
  <si>
    <t xml:space="preserve">None established</t>
  </si>
  <si>
    <t xml:space="preserve">REJECT / FALSE POSITIVE</t>
  </si>
  <si>
    <t xml:space="preserve">Do not raise a NovaDrive supplier-risk alert from this event. The named entity is a broker in Harbor District, not the semiconductor supplier in the mapped network.</t>
  </si>
  <si>
    <t xml:space="preserve">If needed, verify legal name and registration ID before any future match.</t>
  </si>
  <si>
    <t xml:space="preserve">Legal entity disambiguation prevents name-based false positive.</t>
  </si>
  <si>
    <t xml:space="preserve">EV-005</t>
  </si>
  <si>
    <t xml:space="preserve">2025-09-26</t>
  </si>
  <si>
    <t xml:space="preserve">2023-11-03</t>
  </si>
  <si>
    <t xml:space="preserve">Archived port strike reposted</t>
  </si>
  <si>
    <t xml:space="preserve">An aggregator republishes a port strike from 3 November 2023. The original dispute ended in 2023. No current strike is announced.</t>
  </si>
  <si>
    <t xml:space="preserve">OLD-PORT</t>
  </si>
  <si>
    <t xml:space="preserve">Historical port strike; no current strike announced</t>
  </si>
  <si>
    <t xml:space="preserve">Stale event; no current disruption</t>
  </si>
  <si>
    <t xml:space="preserve">REJECT / STALE</t>
  </si>
  <si>
    <t xml:space="preserve">Do not treat as a current logistics alert; original dispute ended in 2023.</t>
  </si>
  <si>
    <t xml:space="preserve">Retain for audit only; require a current effective date and current operating status before escalation.</t>
  </si>
  <si>
    <t xml:space="preserve">Published 2025 but effective 2023; effective date controls currentness.</t>
  </si>
  <si>
    <t xml:space="preserve">EV-007</t>
  </si>
  <si>
    <t xml:space="preserve">2025-09-27</t>
  </si>
  <si>
    <t xml:space="preserve">Jade head office relocation</t>
  </si>
  <si>
    <t xml:space="preserve">Jade moves its administrative headquarters within Harbor District. Production remains at its East Delta site.</t>
  </si>
  <si>
    <t xml:space="preserve">JADE-HQ</t>
  </si>
  <si>
    <t xml:space="preserve">Jade Printed Circuits; administrative HQ within Harbor District</t>
  </si>
  <si>
    <t xml:space="preserve">Entity match, but facility/function mismatch for production impact</t>
  </si>
  <si>
    <t xml:space="preserve">C10, B10 (watch only; no new disruption alert)</t>
  </si>
  <si>
    <t xml:space="preserve">LOW / MONITOR</t>
  </si>
  <si>
    <t xml:space="preserve">Jade is a critical shared upstream PCB substrate supplier, but the event explicitly says production remains at East Delta. HQ relocation alone does not indicate production disruption.</t>
  </si>
  <si>
    <t xml:space="preserve">Confirm the production site remains operational only if required; do not change risk score based on HQ move alone.</t>
  </si>
  <si>
    <t xml:space="preserve">Separate administrative headquarters from production facility.</t>
  </si>
  <si>
    <t xml:space="preserve">EV-009</t>
  </si>
  <si>
    <t xml:space="preserve">2025-09-29</t>
  </si>
  <si>
    <t xml:space="preserve">Delta packaging allegation corrected</t>
  </si>
  <si>
    <t xml:space="preserve">An allegation concerns Delta Consumer Plastics, not Delta Capacitor Works. No named link to NovaDrive production is established.</t>
  </si>
  <si>
    <t xml:space="preserve">DELTA-IDENTITY</t>
  </si>
  <si>
    <t xml:space="preserve">Delta Consumer Plastics, not Delta Capacitor Works</t>
  </si>
  <si>
    <t xml:space="preserve">Entity mismatch; excluded</t>
  </si>
  <si>
    <t xml:space="preserve">Do not associate the allegation with Delta Capacitor Works or C20.</t>
  </si>
  <si>
    <t xml:space="preserve">Keep legal entity names distinct; no NovaDrive production link established.</t>
  </si>
  <si>
    <t xml:space="preserve">Name similarity is insufficient for matching.</t>
  </si>
  <si>
    <t xml:space="preserve">EV-010</t>
  </si>
  <si>
    <t xml:space="preserve">2025-09-30</t>
  </si>
  <si>
    <t xml:space="preserve">Gulf Arc port congestion</t>
  </si>
  <si>
    <t xml:space="preserve">OceanLink reports average terminal delay of three days for Gulf Arc departures. Shipment-specific impact has not been assessed.</t>
  </si>
  <si>
    <t xml:space="preserve">PORT-GULF</t>
  </si>
  <si>
    <t xml:space="preserve">Gulf Arc departures; Estuary route link unconfirmed</t>
  </si>
  <si>
    <t xml:space="preserve">Geographic/logistics signal; shipment linkage unresolved</t>
  </si>
  <si>
    <t xml:space="preserve">H20 (conditional only)</t>
  </si>
  <si>
    <t xml:space="preserve">MEDIUM / VERIFY</t>
  </si>
  <si>
    <t xml:space="preserve">Three-day average terminal delay could affect cooling-assembly deliveries only if Estuary shipments use the affected departures. No shipment-specific impact has been assessed.</t>
  </si>
  <si>
    <t xml:space="preserve">Check bills of lading, origin/destination, routing, ETAs, open orders and buffer stock; raise priority only if relevant shipments are confirmed.</t>
  </si>
  <si>
    <t xml:space="preserve">Do not infer supplier exposure from geography alone.</t>
  </si>
  <si>
    <t xml:space="preserve">Z01 FLOOD-WATCH EXPOSURE MAP  (EV-001 / EV-002, one signal)</t>
  </si>
  <si>
    <t xml:space="preserve">Every facility in the supplier universe located in zone Z01, checked against the reconstructed network. A flood watch is geographic only: no damage or shutdown is confirmed, so this is a preparedness view.</t>
  </si>
  <si>
    <t xml:space="preserve">Facility ID</t>
  </si>
  <si>
    <t xml:space="preserve">Facility zone (lookup)</t>
  </si>
  <si>
    <t xml:space="preserve">Network tier</t>
  </si>
  <si>
    <t xml:space="preserve">Components exposed</t>
  </si>
  <si>
    <t xml:space="preserve">Qualified alternate in network?</t>
  </si>
  <si>
    <t xml:space="preserve">No. Sole qualified die source; SITE-900 (Z05) is a pilot line, not a qualified replacement (DOC-077, DOC-078).</t>
  </si>
  <si>
    <t xml:space="preserve">Tier 3 (via IonPeak)</t>
  </si>
  <si>
    <t xml:space="preserve">Not assessed in source data; upstream wafer source for IonPeak.</t>
  </si>
  <si>
    <t xml:space="preserve">Not assessed; link is an inference (DOC-058) and needs validation.</t>
  </si>
  <si>
    <t xml:space="preserve">Not assessed in source data; ceramic substrates for both Aster and Boreal.</t>
  </si>
  <si>
    <t xml:space="preserve">No. Substrates are program-specific; no independent qualified source (DOC-079). HQ (SITE-901, Z07) is not the plant (DOC-076).</t>
  </si>
  <si>
    <t xml:space="preserve">Reconciliation</t>
  </si>
  <si>
    <t xml:space="preserve">Z01 facilities in supplier universe</t>
  </si>
  <si>
    <t xml:space="preserve">Listed on this sheet</t>
  </si>
  <si>
    <t xml:space="preserve">Check (should be 0)</t>
  </si>
  <si>
    <t xml:space="preserve">ALTERNATE SUPPLIER FITMENT ASSESSMENT</t>
  </si>
  <si>
    <t xml:space="preserve">One row per component-candidate pair. Public evidence, weighted criterion ratings, evidence confidence, source URL, verification gaps and status are kept together. Candidate is not approved unless separately validated. v2: weighted score and band are now formulas driven by the weights in 'Scoring &amp; Evidence Rules'; rows added for the three CRITICAL upstream nodes (IonPeak dies, Jade substrates, Meridian dielectric film); date and dependency columns added.</t>
  </si>
  <si>
    <t xml:space="preserve">Products affected</t>
  </si>
  <si>
    <t xml:space="preserve">Current supplier(s)</t>
  </si>
  <si>
    <t xml:space="preserve">Candidate</t>
  </si>
  <si>
    <t xml:space="preserve">Technical capability (30%)</t>
  </si>
  <si>
    <t xml:space="preserve">Application relevance (20%)</t>
  </si>
  <si>
    <t xml:space="preserve">Scale / footprint (15%)</t>
  </si>
  <si>
    <t xml:space="preserve">Quality / qualification readiness (15%)</t>
  </si>
  <si>
    <t xml:space="preserve">Design-in / substitution ease (10%)</t>
  </si>
  <si>
    <t xml:space="preserve">Commercial / supply resilience (10%)</t>
  </si>
  <si>
    <t xml:space="preserve">Weighted score / 5</t>
  </si>
  <si>
    <t xml:space="preserve">Screening band</t>
  </si>
  <si>
    <t xml:space="preserve">Evidence confidence</t>
  </si>
  <si>
    <t xml:space="preserve">Evidence-based assessment</t>
  </si>
  <si>
    <t xml:space="preserve">Main verification gaps</t>
  </si>
  <si>
    <t xml:space="preserve">Public source URL</t>
  </si>
  <si>
    <t xml:space="preserve">Decision status</t>
  </si>
  <si>
    <t xml:space="preserve">Public Evidence Summary</t>
  </si>
  <si>
    <t xml:space="preserve">Shortlist Status</t>
  </si>
  <si>
    <t xml:space="preserve">Evidence accessed (date)</t>
  </si>
  <si>
    <t xml:space="preserve">Node replaced / tier</t>
  </si>
  <si>
    <t xml:space="preserve">Addresses shared upstream dependency?</t>
  </si>
  <si>
    <t xml:space="preserve">M10 – Standard power assembly</t>
  </si>
  <si>
    <t xml:space="preserve">Industrial inverter power assembly; P1 and P3</t>
  </si>
  <si>
    <t xml:space="preserve">Aster Power Assemblies; Boreal Power Systems</t>
  </si>
  <si>
    <t xml:space="preserve">Semikron Danfoss</t>
  </si>
  <si>
    <t xml:space="preserve">Low</t>
  </si>
  <si>
    <t xml:space="preserve">Public portfolio supports power-module capability for industrial power electronics, but not a complete integrated M10 assembly. Global footprint is a positive scale signal; exact plant, capacity and qualification status are unverified.</t>
  </si>
  <si>
    <t xml:space="preserve">Confirm turnkey assembly capability versus module-only supply; voltage/current/topology; thermal and mechanical interfaces; manufacturing site; capacity; quality certifications; pricing and lead time.</t>
  </si>
  <si>
    <t xml:space="preserve">https://www.semikron-danfoss.com/products/power-modules</t>
  </si>
  <si>
    <t xml:space="preserve">Screen only — not approved</t>
  </si>
  <si>
    <t xml:space="preserve">Official portfolio describes IGBT, MOSFET, SiC modules for industrial, renewable and e-mobility applications; global production footprint includes India and multiple other regions.</t>
  </si>
  <si>
    <t xml:space="preserve">Official manufacturer product page</t>
  </si>
  <si>
    <t xml:space="preserve">Initial screen only</t>
  </si>
  <si>
    <t xml:space="preserve">Not recorded in original research - re-verify and enter date</t>
  </si>
  <si>
    <t xml:space="preserve">Tier-1 direct supplier (Aster / Boreal)</t>
  </si>
  <si>
    <t xml:space="preserve">No. A different module assembler does not give independent die supply (DOC-078). Public reporting shows Semikron sources dice from third parties, so a second die route may exist for it; unverified for M10/M20.</t>
  </si>
  <si>
    <t xml:space="preserve">Vincotech</t>
  </si>
  <si>
    <t xml:space="preserve">Industrial-drive power modules are application-relevant upstream components, but public evidence does not establish a full M10 assembly replacement. Exact capacity, quality status and commercial terms are unverified.</t>
  </si>
  <si>
    <t xml:space="preserve">Confirm full assembly versus module-only scope; voltage/current/topology; thermal interface; manufacturing site and capacity; qualification evidence; price and lead time.</t>
  </si>
  <si>
    <t xml:space="preserve">https://www.vincotech.com/applications/industrial-drives</t>
  </si>
  <si>
    <t xml:space="preserve">Official industrial-drives page describes IGBT, SiC MOSFET and rectifier-based power modules for industrial motor drives.</t>
  </si>
  <si>
    <t xml:space="preserve">Official manufacturer application page</t>
  </si>
  <si>
    <t xml:space="preserve">No. Same die-dependency logic as Semikron Danfoss (DOC-078); die sourcing for M10/M20 unverified.</t>
  </si>
  <si>
    <t xml:space="preserve">M20 – High-voltage power assembly</t>
  </si>
  <si>
    <t xml:space="preserve">High-voltage power conversion for charging; P2</t>
  </si>
  <si>
    <t xml:space="preserve">Power-module portfolio is relevant to high-voltage power conversion, but exact M20 voltage/current class and complete assembly scope are not demonstrated by the shortlist evidence.</t>
  </si>
  <si>
    <t xml:space="preserve">Confirm M20 voltage/current class, topology, insulation/clearance requirements, thermal design, complete assembly integration, plant capacity, quality certifications and qualification timeline.</t>
  </si>
  <si>
    <t xml:space="preserve">Official module catalogue covers different current ratings, voltage classes, IGBT and SiC technologies.</t>
  </si>
  <si>
    <t xml:space="preserve">Industrial-drive module capability is adjacent to the application, but exact high-voltage fit and turnkey assembly capability are unverified.</t>
  </si>
  <si>
    <t xml:space="preserve">Confirm voltage/current class, topology, insulation, thermal interface, assembly scope, manufacturing site, capacity, qualification and commercial terms.</t>
  </si>
  <si>
    <t xml:space="preserve">https://www.vincotech.com/</t>
  </si>
  <si>
    <t xml:space="preserve">Official product information describes SiC/IGBT modules and scalable charger-related power conversion applications.</t>
  </si>
  <si>
    <t xml:space="preserve">Official manufacturer website</t>
  </si>
  <si>
    <t xml:space="preserve">C10 – Control board</t>
  </si>
  <si>
    <t xml:space="preserve">Industrial control PCB/PCBA with embedded microcontroller; P1, P2, P3</t>
  </si>
  <si>
    <t xml:space="preserve">Jabil</t>
  </si>
  <si>
    <t xml:space="preserve">Medium-Low</t>
  </si>
  <si>
    <t xml:space="preserve">Public electronics manufacturing capability supports complex PCBA at scale. Specific industrial inverter control-board design, embedded firmware, functional-safety and test compatibility are not established by the shortlist evidence.</t>
  </si>
  <si>
    <t xml:space="preserve">Confirm design ownership/DFM support, controller ecosystem, firmware and functional-safety capability, functional test coverage, plant/site, certifications, available capacity, IP protections and commercial terms.</t>
  </si>
  <si>
    <t xml:space="preserve">https://www.jabil.com/capability/electronics.html</t>
  </si>
  <si>
    <t xml:space="preserve">Official electronics capability page lists PCBA, engineering services, test development, high-current and high-density board technologies, and box-build integration.</t>
  </si>
  <si>
    <t xml:space="preserve">Official manufacturer capability page</t>
  </si>
  <si>
    <t xml:space="preserve">Tier-1 direct supplier (Cobalt)</t>
  </si>
  <si>
    <t xml:space="preserve">Only if the alternate board source also avoids Jade substrates; not evidenced. Substrate is program-specific (DOC-079).</t>
  </si>
  <si>
    <t xml:space="preserve">Sanmina</t>
  </si>
  <si>
    <t xml:space="preserve">Public PCB assembly capability is directly relevant to board manufacturing, but NovaDrive-specific control functionality and qualification readiness are not established.</t>
  </si>
  <si>
    <t xml:space="preserve">Confirm board complexity, embedded-control support, functional safety, test fixtures, exact plant, certifications, capacity, component sourcing, IP controls and lead time.</t>
  </si>
  <si>
    <t xml:space="preserve">https://www.sanmina.com/contract-manufacturing-design/pcb-assembly-smt/</t>
  </si>
  <si>
    <t xml:space="preserve">Official page describes PCB assembly, SMT, prototype to high-volume manufacturing, inspection, electrical testing and test-system development.</t>
  </si>
  <si>
    <t xml:space="preserve">C20 – DC-link capacitor</t>
  </si>
  <si>
    <t xml:space="preserve">High-energy DC-link film capacitor; P1 and P2</t>
  </si>
  <si>
    <t xml:space="preserve">TDK / EPCOS</t>
  </si>
  <si>
    <t xml:space="preserve">Public DC-link film capacitor product family is a direct component-category match. Exact electrical ratings, mechanical fit, lifetime and approved status for NovaDrive remain unverified.</t>
  </si>
  <si>
    <t xml:space="preserve">Match capacitance, voltage, ripple current, ESR/ESL, lifetime, temperature, dimensions, terminals, safety approvals and plant availability; complete engineering qualification and commercial review.</t>
  </si>
  <si>
    <t xml:space="preserve">https://product.tdk.com/en/products/capacitor/film/dc-link/index.html</t>
  </si>
  <si>
    <t xml:space="preserve">Official portfolio provides DC-link film capacitors with voltage/capacitance ranges and application information for industrial frequency drives and power conversion.</t>
  </si>
  <si>
    <t xml:space="preserve">Tier-1 direct supplier (Delta Capacitor Works)</t>
  </si>
  <si>
    <t xml:space="preserve">Tier-1 swap only; the Tier-2 / Tier-3 dependency behind this component is unchanged and unassessed for this candidate.</t>
  </si>
  <si>
    <t xml:space="preserve">Vishay</t>
  </si>
  <si>
    <t xml:space="preserve">Public DC-link capacitor product family is a direct category match. Exact part-level equivalence and qualification for NovaDrive are not established.</t>
  </si>
  <si>
    <t xml:space="preserve">Match electrical ratings, ripple current, ESR/ESL, lifetime, temperature, dimensions, terminals, certifications, manufacturing location, capacity, price and lead time.</t>
  </si>
  <si>
    <t xml:space="preserve">https://www.vishay.com/en/capacitors/film/dc-link/</t>
  </si>
  <si>
    <t xml:space="preserve">Official catalogue lists DC-link film capacitor families, including industrial-grade products with stated voltage and capacitance ranges.</t>
  </si>
  <si>
    <t xml:space="preserve">H10 – Protective housing</t>
  </si>
  <si>
    <t xml:space="preserve">Machined/fabricated aluminum electronics enclosure; P1</t>
  </si>
  <si>
    <t xml:space="preserve">nVent HOFFMAN</t>
  </si>
  <si>
    <t xml:space="preserve">Industrial enclosure portfolio is relevant to protective housing needs, but the exact custom geometry, thermal, ingress-protection and EMI requirements are not evidenced as matched.</t>
  </si>
  <si>
    <t xml:space="preserve">Confirm material and dimensions, mounting, ingress/IP rating, EMI shielding, corrosion, thermal requirements, tolerances, customization, manufacturing site, test/quality documentation and lead time.</t>
  </si>
  <si>
    <t xml:space="preserve">https://www.nvent.com/en-in/hoffman</t>
  </si>
  <si>
    <t xml:space="preserve">Official site describes industrial enclosure customization, special dimensions, machining, holes/cutouts and serial production capability.</t>
  </si>
  <si>
    <t xml:space="preserve">Tier-1 direct supplier (ForgeLine)</t>
  </si>
  <si>
    <t xml:space="preserve">Hammond Manufacturing</t>
  </si>
  <si>
    <t xml:space="preserve">Aluminum enclosure products provide a relevant product-family match; exact custom housing fit, production scale and NovaDrive qualification are unverified.</t>
  </si>
  <si>
    <t xml:space="preserve">Confirm alloy, geometry, machining/customization, IP/EMI requirements, thermal performance, tolerances, finish, production capacity, certifications, price and lead time.</t>
  </si>
  <si>
    <t xml:space="preserve">https://www.hammfg.com/electrical/products/aluminum</t>
  </si>
  <si>
    <t xml:space="preserve">Official catalogue includes aluminum enclosures and factory modification services; broad standard enclosure portfolio.</t>
  </si>
  <si>
    <t xml:space="preserve">H20 – Cooling assembly</t>
  </si>
  <si>
    <t xml:space="preserve">Thermal-management / liquid-cooling assembly; P2 and P3</t>
  </si>
  <si>
    <t xml:space="preserve">Boyd</t>
  </si>
  <si>
    <t xml:space="preserve">Public liquid-cooling systems capability is relevant to thermal management, but the exact H20 assembly configuration and its operating envelope are not proven to match.</t>
  </si>
  <si>
    <t xml:space="preserve">Validate heat load, coolant, flow/pressure, pressure drop, leakage, materials compatibility, interfaces, vibration/corrosion, test regime, manufacturing site, scale, qualification and serviceability.</t>
  </si>
  <si>
    <t xml:space="preserve">https://www.boydcorp.com/thermal/liquid-cooling-systems.html</t>
  </si>
  <si>
    <t xml:space="preserve">Official sources describe liquid cooling systems, custom cold plates, liquid loops, and thermal/flow/leak testing.</t>
  </si>
  <si>
    <t xml:space="preserve">Tier-1 direct supplier (Estuary)</t>
  </si>
  <si>
    <t xml:space="preserve">Modine</t>
  </si>
  <si>
    <t xml:space="preserve">Electronics-cooling capability is application-relevant, but the exact H20 assembly design, interface and operating envelope are unverified.</t>
  </si>
  <si>
    <t xml:space="preserve">Confirm thermal load, coolant, flow/pressure, pressure drop, dimensions, interfaces, leak testing, materials, site capacity, qualification documentation, price and lead time.</t>
  </si>
  <si>
    <t xml:space="preserve">https://www.modine.com/news/how-it-works-electronics-cooling-package/</t>
  </si>
  <si>
    <t xml:space="preserve">Official article describes electronics cooling packages for inverter, converter and onboard-charger thermal management, with heat exchanger, fans, harnesses and control options.</t>
  </si>
  <si>
    <t xml:space="preserve">Official manufacturer technical article</t>
  </si>
  <si>
    <t xml:space="preserve">B10 – Battery-monitoring board</t>
  </si>
  <si>
    <t xml:space="preserve">Battery-monitoring/control PCBA; P3</t>
  </si>
  <si>
    <t xml:space="preserve">Grove Battery Controls; HarborSense Electronics</t>
  </si>
  <si>
    <t xml:space="preserve">Large-scale electronics manufacturing is relevant to PCBA production, but the shortlist evidence does not prove battery-monitoring/BMS design expertise or safety-related validation.</t>
  </si>
  <si>
    <t xml:space="preserve">Confirm battery-monitoring architecture, cell-voltage measurement accuracy, isolation, EMC, functional safety, firmware/test support, component sourcing, exact plant, certifications, capacity and qualification plan.</t>
  </si>
  <si>
    <t xml:space="preserve">Official capability evidence supports complex PCBA, test development and engineering services, but does not independently confirm a matching battery-monitoring board product.</t>
  </si>
  <si>
    <t xml:space="preserve">Tier-1 direct suppliers (Grove / HarborSense)</t>
  </si>
  <si>
    <t xml:space="preserve">PCB assembly capability is relevant to board manufacturing, but battery-monitoring-specific technical design and validation capabilities are unverified.</t>
  </si>
  <si>
    <t xml:space="preserve">Confirm BMS/battery-monitoring expertise, measurement accuracy, isolation, EMC, safety requirements, firmware/test support, plant, quality certifications, capacity and qualification timeline.</t>
  </si>
  <si>
    <t xml:space="preserve">Official capability evidence supports complex PCBA and testing, but not a specific NovaDrive-compatible BMS board.</t>
  </si>
  <si>
    <t xml:space="preserve">M10 / M20 upstream - Power semiconductor dies (IonPeak node)</t>
  </si>
  <si>
    <t xml:space="preserve">P1, P2, P3 (via M10 and M20)</t>
  </si>
  <si>
    <t xml:space="preserve">IonPeak Semiconductor, SITE-074 (sole qualified die source, DOC-078)</t>
  </si>
  <si>
    <t xml:space="preserve">Infineon Technologies</t>
  </si>
  <si>
    <t xml:space="preserve">Public portfolio covers IGBT bare dies and CoolSiC MOSFETs, with industrial drives, EV charging and energy-storage applications listed. Direct category match to the IGBT/SiC-capable dies in M10/M20; die family, ratings and plant are unverified.</t>
  </si>
  <si>
    <t xml:space="preserve">Match voltage / current class and die family to the qualified IonPeak die; module-level requalification and gate-drive changes; plant, capacity and allocation for NovaDrive-scale volume; qualification timeline against the 16-week M10/M20 lead time.</t>
  </si>
  <si>
    <t xml:space="preserve">https://www.infineon.com/products/power/igbt ; https://www.infineon.com/products/power/mosfet/silicon-carbide</t>
  </si>
  <si>
    <t xml:space="preserve">Official portfolio pages list IGBT bare dies up to high-voltage classes and CoolSiC MOSFETs for industrial drives, charging and energy storage. Product pages undated; accessed 2026-10-04.</t>
  </si>
  <si>
    <t xml:space="preserve">Official manufacturer product pages</t>
  </si>
  <si>
    <t xml:space="preserve">2026-10-04</t>
  </si>
  <si>
    <t xml:space="preserve">Tier-2 node: IonPeak Semiconductor (power dies) - CRITICAL 79</t>
  </si>
  <si>
    <t xml:space="preserve">Yes in principle - a qualified second die source would break the shared Aster/Boreal dependency, but requires module requalification at both assemblers.</t>
  </si>
  <si>
    <t xml:space="preserve">STMicroelectronics</t>
  </si>
  <si>
    <t xml:space="preserve">Official ST material states SiC MOSFETs and other power devices are offered as bare die, and ST has supplied bare SiC dice to a third-party module maker (Semikron, 2022 report), showing a die-merchant route. Exact voltage class, plant and capacity for NovaDrive are unverified.</t>
  </si>
  <si>
    <t xml:space="preserve">Match voltage / current class and die family; confirm current die availability and allocation; module requalification and gate-drive changes; plant and capacity; source dates are 2022-2024, so confirm current portfolio.</t>
  </si>
  <si>
    <t xml:space="preserve">https://www.st.com/content/dam/static-page/events/apec-2024/demo-apec-24-next-gen-pwr-discretes.pdf</t>
  </si>
  <si>
    <t xml:space="preserve">Official ST APEC 2024 presentation lists bare-die availability across SiC and silicon MOSFET families; trade report of 11 May 2022 describes ST supplying bare SiC dice to Semikron eMPack modules. Accessed 2026-10-04.</t>
  </si>
  <si>
    <t xml:space="preserve">Official manufacturer presentation (2024) plus trade report (2022)</t>
  </si>
  <si>
    <t xml:space="preserve">Yes in principle - same caveats as above.</t>
  </si>
  <si>
    <t xml:space="preserve">onsemi</t>
  </si>
  <si>
    <t xml:space="preserve">Public catalogue lists EliteSiC MOSFET bare dies (1200 V class entries shown as product preview) for traction, DC-DC and off-board chargers, and describes a vertically integrated SiC supply chain. Silicon IGBT die availability and industrial-drive fit not shown in the evidence retrieved.</t>
  </si>
  <si>
    <t xml:space="preserve">Product-preview status of listed 1200 V dice; IGBT versus SiC die match to M10/M20; plant and capacity; module requalification; whether the vertically integrated chain gives geographic diversification away from Z01.</t>
  </si>
  <si>
    <t xml:space="preserve">https://onsemi.com/products/discrete-power-modules/silicon-carbide-sic/silicon-carbide-sic-mosfets-bare-die</t>
  </si>
  <si>
    <t xml:space="preserve">Official parametric catalogue shows EliteSiC M3e 1200 V bare-die parts (product preview) and a page describing integrated SiC supply for chargers and industrial power. Accessed 2026-10-04.</t>
  </si>
  <si>
    <t xml:space="preserve">Official manufacturer product catalogue</t>
  </si>
  <si>
    <t xml:space="preserve">PolarSwitch (case-referenced prospective alternative)</t>
  </si>
  <si>
    <t xml:space="preserve">Not assessed</t>
  </si>
  <si>
    <t xml:space="preserve">Named in the case evidence (DOC-078) as a prospective alternative only. A public search on 2026-10-04 returned no manufacturer of this name, so no public evidence exists to score. Retained as a lead, not a shortlisted candidate.</t>
  </si>
  <si>
    <t xml:space="preserve">Obtain the source behind the DOC-078 reference; confirm legal entity, capability and qualification status before any scoring.</t>
  </si>
  <si>
    <t xml:space="preserve">No public source found</t>
  </si>
  <si>
    <t xml:space="preserve">No public evidence retrieved on 2026-10-04; case reference only (DOC-078).</t>
  </si>
  <si>
    <t xml:space="preserve">Case evidence only (no public source)</t>
  </si>
  <si>
    <t xml:space="preserve">Unknown - cannot be assessed without evidence.</t>
  </si>
  <si>
    <t xml:space="preserve">C10 / B10 upstream - Printed circuit substrates (Jade node)</t>
  </si>
  <si>
    <t xml:space="preserve">P1, P2, P3 (via C10 and B10)</t>
  </si>
  <si>
    <t xml:space="preserve">Jade Printed Circuits, SITE-081 (no qualified independent substrate, DOC-079)</t>
  </si>
  <si>
    <t xml:space="preserve">TTM Technologies</t>
  </si>
  <si>
    <t xml:space="preserve">Official capability page describes volume PCB fabrication across a global plant footprint with design-for-manufacture and high-reliability support for industrial customers; a third-party directory lists heavy copper and thermal-management boards. Fit to the Jade program-specific substrate is unproven.</t>
  </si>
  <si>
    <t xml:space="preserve">Substrate specification and materials; whether the Jade substrate is program-specific tooling; qualification and first-article time against the 12-week C10/B10 lead time; plant location outside Z01; capacity and pricing.</t>
  </si>
  <si>
    <t xml:space="preserve">https://www.ttm.com/en/markets-we-serve/industrial-and-instrumentation/capabilities</t>
  </si>
  <si>
    <t xml:space="preserve">Official industrial and instrumentation capability page (undated) describes PCB fabrication for medium and high volume with global facilities; accessed 2026-10-04.</t>
  </si>
  <si>
    <t xml:space="preserve">Tier-2 node: Jade Printed Circuits (substrates) - CRITICAL 79</t>
  </si>
  <si>
    <t xml:space="preserve">Yes in principle - removes the single Z01 substrate source shared by C10 and both B10 suppliers, if qualified at Cobalt, Grove and HarborSense.</t>
  </si>
  <si>
    <t xml:space="preserve">Wurth Elektronik</t>
  </si>
  <si>
    <t xml:space="preserve">Company site describes manufacture of printed circuit boards for customer-specific requirements and intelligent power and control systems for demanding conditions. Evidence is a general corporate page; no volume, plant or power-electronics board detail was retrieved.</t>
  </si>
  <si>
    <t xml:space="preserve">Plant locations and capacity; heavy-copper or power-board capability; quality certifications; qualification time; commercial terms. Treat as a weak lead until a product-level page is found.</t>
  </si>
  <si>
    <t xml:space="preserve">https://www.we-online.com/en/index</t>
  </si>
  <si>
    <t xml:space="preserve">Official corporate homepage describes PCBs, components and power and control systems; no product-level substrate evidence; accessed 2026-10-04.</t>
  </si>
  <si>
    <t xml:space="preserve">Official corporate website (general)</t>
  </si>
  <si>
    <t xml:space="preserve">Possibly - same caveats; weaker evidence than TTM.</t>
  </si>
  <si>
    <t xml:space="preserve">C20 upstream - Dielectric film (Meridian node)</t>
  </si>
  <si>
    <t xml:space="preserve">P1, P2 (via C20)</t>
  </si>
  <si>
    <t xml:space="preserve">Meridian Dielectrics, SITE-102 (financial stress, EV-003)</t>
  </si>
  <si>
    <t xml:space="preserve">Toray Industries (TORAYFAN BOPP film)</t>
  </si>
  <si>
    <t xml:space="preserve">Official page describes biaxially oriented polypropylene film made at industrial scale and used for capacitor applications; a market report names Toray among leading capacitor-grade BOPP producers. BOPP is the standard dielectric for power film capacitors, so this is a direct material-category match.</t>
  </si>
  <si>
    <t xml:space="preserve">Film grade, thickness and metallization needed by Delta; whether Meridian supplies base film or metallized film; Delta qualification and capacitor re-test against the 8-week C20 lead time; allocation and pricing; manufacturing region.</t>
  </si>
  <si>
    <t xml:space="preserve">https://www.films.toray/en/products/torayfan/</t>
  </si>
  <si>
    <t xml:space="preserve">Official TORAYFAN page lists capacitor among its applications; a separate application guide states polypropylene is the dielectric most often used for power-electronics DC-link capacitors. Accessed 2026-10-04.</t>
  </si>
  <si>
    <t xml:space="preserve">Official manufacturer product page plus industry application guide</t>
  </si>
  <si>
    <t xml:space="preserve">Tier-2 node: Meridian Dielectrics (dielectric film) - CRITICAL 83.7</t>
  </si>
  <si>
    <t xml:space="preserve">Yes in principle - a second film source reduces dependence on a financially stressed single node, subject to Delta qualification.</t>
  </si>
  <si>
    <t xml:space="preserve">Steiner (Steinerfilm P metallized BOPP)</t>
  </si>
  <si>
    <t xml:space="preserve">Official page describes metallized BOPP film offered in custom metallizing patterns and slit widths for capacitors, including DC-link applications with high DC voltage and high-frequency ripple. Category match is strong; scale versus the largest producers is not shown.</t>
  </si>
  <si>
    <t xml:space="preserve">Capacity and lead time; film grade versus Delta spec; Delta qualification; plant location; financial and continuity review.</t>
  </si>
  <si>
    <t xml:space="preserve">https://www.steinerfilm.com/p-bopp</t>
  </si>
  <si>
    <t xml:space="preserve">Official product page for metallized BOPP film aimed at customized capacitors and DC-link use; accessed 2026-10-04.</t>
  </si>
  <si>
    <t xml:space="preserve">SCORING METHODOLOGY + EVIDENCE RULES</t>
  </si>
  <si>
    <t xml:space="preserve">Compact reference for the dashboard builder. The individual risk and fitment values remain in their respective assessment sheets.</t>
  </si>
  <si>
    <t xml:space="preserve">Assessment</t>
  </si>
  <si>
    <t xml:space="preserve">Field / Criterion</t>
  </si>
  <si>
    <t xml:space="preserve">Weight / Threshold</t>
  </si>
  <si>
    <t xml:space="preserve">Definition / Interpretation</t>
  </si>
  <si>
    <t xml:space="preserve">Caveat / Evidence Required</t>
  </si>
  <si>
    <t xml:space="preserve">Supplier risk</t>
  </si>
  <si>
    <t xml:space="preserve">&gt;=75</t>
  </si>
  <si>
    <t xml:space="preserve">Highest supplier-risk band.</t>
  </si>
  <si>
    <t xml:space="preserve">Risk score is a screening indicator; inspect underlying financial, operational, geographic and other indicators.</t>
  </si>
  <si>
    <t xml:space="preserve">&gt;=60 and &lt;75</t>
  </si>
  <si>
    <t xml:space="preserve">Elevated supplier risk.</t>
  </si>
  <si>
    <t xml:space="preserve">Not a disruption probability.</t>
  </si>
  <si>
    <t xml:space="preserve">&gt;=45 and &lt;60</t>
  </si>
  <si>
    <t xml:space="preserve">Moderate supplier risk.</t>
  </si>
  <si>
    <t xml:space="preserve">Consider criticality, shared dependencies and event context.</t>
  </si>
  <si>
    <t xml:space="preserve">&lt;45</t>
  </si>
  <si>
    <t xml:space="preserve">Lower relative supplier risk in this scorecard.</t>
  </si>
  <si>
    <t xml:space="preserve">Low score does not imply no risk.</t>
  </si>
  <si>
    <t xml:space="preserve">Data completeness / relationship confidence</t>
  </si>
  <si>
    <t xml:space="preserve">Separate fields</t>
  </si>
  <si>
    <t xml:space="preserve">Completeness/confidence describes evidence quality, not supplier risk level.</t>
  </si>
  <si>
    <t xml:space="preserve">Keep confidence separate from risk.</t>
  </si>
  <si>
    <t xml:space="preserve">Component risk</t>
  </si>
  <si>
    <t xml:space="preserve">Component network risk formula</t>
  </si>
  <si>
    <t xml:space="preserve">T1 35%; highest T2 25%; highest T3 15%; concentration 15%; event exposure 10%</t>
  </si>
  <si>
    <t xml:space="preserve">Weighted average of available indicators; missing Tier-3 score weight is redistributed proportionally across available indicators.</t>
  </si>
  <si>
    <t xml:space="preserve">Transparent screening score, not statistically validated loss probability.</t>
  </si>
  <si>
    <t xml:space="preserve">Alternate fitment</t>
  </si>
  <si>
    <t xml:space="preserve">Technical capability match</t>
  </si>
  <si>
    <t xml:space="preserve">Can candidate make the same component type and meet electrical, thermal, mechanical or board requirements?</t>
  </si>
  <si>
    <t xml:space="preserve">Datasheets, drawings, process capability, engineering review and test results.</t>
  </si>
  <si>
    <t xml:space="preserve">Application relevance</t>
  </si>
  <si>
    <t xml:space="preserve">Experience with industrial drives, charging power conversion, energy storage electronics, enclosure or cooling application.</t>
  </si>
  <si>
    <t xml:space="preserve">Public application/product pages and relevant references.</t>
  </si>
  <si>
    <t xml:space="preserve">Manufacturing scale / footprint</t>
  </si>
  <si>
    <t xml:space="preserve">Ability to support required volume and workable manufacturing/shipping footprint.</t>
  </si>
  <si>
    <t xml:space="preserve">Footprint is a proxy only; confirm actual plant, capacity, line time and route.</t>
  </si>
  <si>
    <t xml:space="preserve">Quality / qualification readiness</t>
  </si>
  <si>
    <t xml:space="preserve">Quality systems, traceability, reliability testing and relevant approvals.</t>
  </si>
  <si>
    <t xml:space="preserve">Certificates, audit, process documentation and qualification evidence.</t>
  </si>
  <si>
    <t xml:space="preserve">Design-in / substitution ease</t>
  </si>
  <si>
    <t xml:space="preserve">Expected engineering change, tooling, firmware, interface or validation effort.</t>
  </si>
  <si>
    <t xml:space="preserve">Exact interchangeability is not proven; design comparison and testing required.</t>
  </si>
  <si>
    <t xml:space="preserve">Commercial / supply resilience</t>
  </si>
  <si>
    <t xml:space="preserve">Plausible capacity, lead time, continuity, pricing and dependency diversification.</t>
  </si>
  <si>
    <t xml:space="preserve">RFQ, capacity reservation, financial/continuity review and alternate-site options.</t>
  </si>
  <si>
    <t xml:space="preserve">Rating scale</t>
  </si>
  <si>
    <t xml:space="preserve">1 to 5</t>
  </si>
  <si>
    <t xml:space="preserve">1 = weak/no evidence; 3 = plausible but important unknowns; 5 = strong documented fit.</t>
  </si>
  <si>
    <t xml:space="preserve">Do not award high scores based only on generic marketing claims.</t>
  </si>
  <si>
    <t xml:space="preserve">Network evidence</t>
  </si>
  <si>
    <t xml:space="preserve">Allocation values</t>
  </si>
  <si>
    <t xml:space="preserve">Planning / contracted</t>
  </si>
  <si>
    <t xml:space="preserve">Allocations are planning/contracted signals from evidence.</t>
  </si>
  <si>
    <t xml:space="preserve">Not purchase ledger data or guarantee of realized deliveries.</t>
  </si>
  <si>
    <t xml:space="preserve">Event handling</t>
  </si>
  <si>
    <t xml:space="preserve">Duplicate control</t>
  </si>
  <si>
    <t xml:space="preserve">EV-001 / EV-002</t>
  </si>
  <si>
    <t xml:space="preserve">Same source family and same flood-watch bulletin.</t>
  </si>
  <si>
    <t xml:space="preserve">Count as one signal, not two independent events.</t>
  </si>
  <si>
    <t xml:space="preserve">Entity mismatch control</t>
  </si>
  <si>
    <t xml:space="preserve">EV-004 / EV-009</t>
  </si>
  <si>
    <t xml:space="preserve">Ion Peak Trading is not IonPeak Semiconductor; Delta Consumer Plastics is not Delta Capacitor Works.</t>
  </si>
  <si>
    <t xml:space="preserve">Do not create supplier alerts based on name similarity alone.</t>
  </si>
  <si>
    <t xml:space="preserve">Stale / administrative / conditional events</t>
  </si>
  <si>
    <t xml:space="preserve">EV-005 / EV-007 / EV-010</t>
  </si>
  <si>
    <t xml:space="preserve">EV-005 is historical; EV-007 is HQ relocation with production continuing at East Delta; EV-010 route exposure to Estuary is unconfirmed.</t>
  </si>
  <si>
    <t xml:space="preserve">Do not infer current disruption without current, entity/site-specific evidence.</t>
  </si>
  <si>
    <t xml:space="preserve">Supplier-level score build</t>
  </si>
  <si>
    <t xml:space="preserve">Financial 30% / Operational 25% / Location 30% / Assurance 15%</t>
  </si>
  <si>
    <t xml:space="preserve">See 'Supplier Score Build'. Intrinsic score from eight raw indicators with editable weights; missing pillars default to 60 and are flagged, never treated as low risk.</t>
  </si>
  <si>
    <t xml:space="preserve">The original headline supplier weights are undocumented in the source files. The build is a cross-check; the headline score is unchanged.</t>
  </si>
  <si>
    <t xml:space="preserve">Revenue criticality</t>
  </si>
  <si>
    <t xml:space="preserve">Revenue dependent = sum of revenue of products using the component</t>
  </si>
  <si>
    <t xml:space="preserve">Risk-weighted revenue index = network risk score / 100 x revenue dependent (Component Risk cols V-Y; Node Criticality).</t>
  </si>
  <si>
    <t xml:space="preserve">Prioritisation aid only. No supplier spend or purchase data is provided, so it is not an expected-loss figure.</t>
  </si>
  <si>
    <t xml:space="preserve">Common control</t>
  </si>
  <si>
    <t xml:space="preserve">Aster and Boreal share owner CommonSpan (DOC-075)</t>
  </si>
  <si>
    <t xml:space="preserve">M10 / M20 Tier-1 split is treated as one ownership group for concentration and escalation.</t>
  </si>
  <si>
    <t xml:space="preserve">Ownership evidence only; the concentration score in Component Risk is left as originally set (80) and should be reviewed.</t>
  </si>
  <si>
    <t xml:space="preserve">Screening band threshold</t>
  </si>
  <si>
    <t xml:space="preserve">Weighted score &gt;= threshold = 'Promising but gaps remain'; below = 'Partial / uncertain fit'. If fewer than six criterion ratings exist the candidate is 'Not scored'.</t>
  </si>
  <si>
    <t xml:space="preserve">Threshold inferred from the bands already used in this sheet (2.75-2.90 partial; 3.35-3.95 promising). Analyst judgement, not a case-provided cut-off.</t>
  </si>
  <si>
    <t xml:space="preserve">Facility-level matching</t>
  </si>
  <si>
    <t xml:space="preserve">EV-001 matched to every facility in zone Z01</t>
  </si>
  <si>
    <t xml:space="preserve">Five mapped Z01 facilities: IonPeak, Orion, Jade, Umber, Verdant (inferred). See 'Z01 Flood Exposure'.</t>
  </si>
  <si>
    <t xml:space="preserve">Geographic match only; no damage or shutdown confirmed. Matching uses facility zone, not company name.</t>
  </si>
  <si>
    <t xml:space="preserve">Upstream-node candidates</t>
  </si>
  <si>
    <t xml:space="preserve">Candidates for IonPeak dies, Jade substrates, Meridian film</t>
  </si>
  <si>
    <t xml:space="preserve">Added for the three CRITICAL upstream nodes and scored with the same six-criterion framework.</t>
  </si>
  <si>
    <t xml:space="preserve">Tier-2 replacements are normally qualified through the Tier-1 supplier; NovaDrive would need to influence Tier-1 sourcing and qualification.</t>
  </si>
</sst>
</file>

<file path=xl/styles.xml><?xml version="1.0" encoding="utf-8"?>
<styleSheet xmlns="http://schemas.openxmlformats.org/spreadsheetml/2006/main">
  <numFmts count="10">
    <numFmt numFmtId="164" formatCode="General"/>
    <numFmt numFmtId="165" formatCode="0%"/>
    <numFmt numFmtId="166" formatCode="0.00%"/>
    <numFmt numFmtId="167" formatCode="0.00"/>
    <numFmt numFmtId="168" formatCode="0.0"/>
    <numFmt numFmtId="169" formatCode="General"/>
    <numFmt numFmtId="170" formatCode="\+0.0;\-0.0;0.0"/>
    <numFmt numFmtId="171" formatCode="0"/>
    <numFmt numFmtId="172" formatCode="#,##0"/>
    <numFmt numFmtId="173" formatCode="0.0%"/>
  </numFmts>
  <fonts count="15">
    <font>
      <sz val="11"/>
      <color theme="1"/>
      <name val="Calibri"/>
      <family val="2"/>
      <charset val="1"/>
    </font>
    <font>
      <sz val="10"/>
      <name val="Arial"/>
      <family val="0"/>
    </font>
    <font>
      <sz val="10"/>
      <name val="Arial"/>
      <family val="0"/>
    </font>
    <font>
      <sz val="10"/>
      <name val="Arial"/>
      <family val="0"/>
    </font>
    <font>
      <b val="true"/>
      <sz val="15"/>
      <color rgb="FFFFFFFF"/>
      <name val="Aptos Display"/>
      <family val="0"/>
      <charset val="1"/>
    </font>
    <font>
      <i val="true"/>
      <sz val="10"/>
      <color rgb="FF666666"/>
      <name val="Cambria"/>
      <family val="0"/>
      <charset val="1"/>
    </font>
    <font>
      <b val="true"/>
      <sz val="11"/>
      <color rgb="FFFFFFFF"/>
      <name val="Cambria"/>
      <family val="0"/>
      <charset val="1"/>
    </font>
    <font>
      <sz val="11"/>
      <name val="Calibri"/>
      <family val="0"/>
      <charset val="1"/>
    </font>
    <font>
      <b val="true"/>
      <sz val="14"/>
      <color rgb="FFFFFFFF"/>
      <name val="Cambria"/>
      <family val="0"/>
      <charset val="1"/>
    </font>
    <font>
      <sz val="11"/>
      <color rgb="FF0000FF"/>
      <name val="Calibri"/>
      <family val="0"/>
      <charset val="1"/>
    </font>
    <font>
      <sz val="10"/>
      <color rgb="FF666666"/>
      <name val="Calibri"/>
      <family val="0"/>
      <charset val="1"/>
    </font>
    <font>
      <sz val="11"/>
      <color rgb="FF008000"/>
      <name val="Calibri"/>
      <family val="0"/>
      <charset val="1"/>
    </font>
    <font>
      <b val="true"/>
      <sz val="11"/>
      <name val="Calibri"/>
      <family val="0"/>
      <charset val="1"/>
    </font>
    <font>
      <sz val="12"/>
      <color theme="10"/>
      <name val="Calibri"/>
      <family val="2"/>
      <charset val="1"/>
    </font>
    <font>
      <u val="single"/>
      <sz val="11"/>
      <color rgb="FF0563C1"/>
      <name val="Calibri"/>
      <family val="0"/>
      <charset val="1"/>
    </font>
  </fonts>
  <fills count="6">
    <fill>
      <patternFill patternType="none"/>
    </fill>
    <fill>
      <patternFill patternType="gray125"/>
    </fill>
    <fill>
      <patternFill patternType="solid">
        <fgColor rgb="FF17365D"/>
        <bgColor rgb="FF333333"/>
      </patternFill>
    </fill>
    <fill>
      <patternFill patternType="solid">
        <fgColor rgb="FF1F4E78"/>
        <bgColor rgb="FF17365D"/>
      </patternFill>
    </fill>
    <fill>
      <patternFill patternType="solid">
        <fgColor rgb="FFF3F6FA"/>
        <bgColor rgb="FFFFFFFF"/>
      </patternFill>
    </fill>
    <fill>
      <patternFill patternType="solid">
        <fgColor rgb="FFFFF2CC"/>
        <bgColor rgb="FFF3F6FA"/>
      </patternFill>
    </fill>
  </fills>
  <borders count="1">
    <border diagonalUp="false" diagonalDown="false">
      <left/>
      <right/>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3" fillId="0" borderId="0" applyFont="true" applyBorder="true" applyAlignment="true" applyProtection="true">
      <alignment horizontal="general" vertical="bottom" textRotation="0" wrapText="false" indent="0" shrinkToFit="false"/>
      <protection locked="true" hidden="false"/>
    </xf>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center"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5" fontId="9" fillId="4" borderId="0" xfId="0" applyFont="true" applyBorder="false" applyAlignment="true" applyProtection="false">
      <alignment horizontal="general" vertical="top" textRotation="0" wrapText="true" indent="0" shrinkToFit="false"/>
      <protection locked="true" hidden="false"/>
    </xf>
    <xf numFmtId="165" fontId="9" fillId="0" borderId="0" xfId="0" applyFont="true" applyBorder="false" applyAlignment="true" applyProtection="false">
      <alignment horizontal="general" vertical="top" textRotation="0" wrapText="true" indent="0" shrinkToFit="false"/>
      <protection locked="true" hidden="false"/>
    </xf>
    <xf numFmtId="166" fontId="7" fillId="4"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1" fillId="4" borderId="0" xfId="0" applyFont="true" applyBorder="false" applyAlignment="true" applyProtection="false">
      <alignment horizontal="general" vertical="top" textRotation="0" wrapText="true" indent="0" shrinkToFit="false"/>
      <protection locked="true" hidden="false"/>
    </xf>
    <xf numFmtId="168" fontId="11" fillId="4" borderId="0" xfId="0" applyFont="true" applyBorder="false" applyAlignment="true" applyProtection="false">
      <alignment horizontal="general" vertical="top" textRotation="0" wrapText="true" indent="0" shrinkToFit="false"/>
      <protection locked="true" hidden="false"/>
    </xf>
    <xf numFmtId="169" fontId="11" fillId="4" borderId="0" xfId="0" applyFont="true" applyBorder="false" applyAlignment="true" applyProtection="false">
      <alignment horizontal="general" vertical="top" textRotation="0" wrapText="true" indent="0" shrinkToFit="false"/>
      <protection locked="true" hidden="false"/>
    </xf>
    <xf numFmtId="168" fontId="7" fillId="4" borderId="0" xfId="0" applyFont="true" applyBorder="false" applyAlignment="true" applyProtection="false">
      <alignment horizontal="general" vertical="top" textRotation="0" wrapText="true" indent="0" shrinkToFit="false"/>
      <protection locked="true" hidden="false"/>
    </xf>
    <xf numFmtId="170" fontId="7" fillId="4" borderId="0" xfId="0" applyFont="true" applyBorder="false" applyAlignment="true" applyProtection="false">
      <alignment horizontal="general" vertical="top" textRotation="0" wrapText="true" indent="0" shrinkToFit="false"/>
      <protection locked="true" hidden="false"/>
    </xf>
    <xf numFmtId="167" fontId="11" fillId="0" borderId="0" xfId="0" applyFont="true" applyBorder="false" applyAlignment="true" applyProtection="false">
      <alignment horizontal="general" vertical="top" textRotation="0" wrapText="true" indent="0" shrinkToFit="false"/>
      <protection locked="true" hidden="false"/>
    </xf>
    <xf numFmtId="168" fontId="11" fillId="0" borderId="0" xfId="0" applyFont="true" applyBorder="false" applyAlignment="true" applyProtection="false">
      <alignment horizontal="general" vertical="top" textRotation="0" wrapText="true" indent="0" shrinkToFit="false"/>
      <protection locked="true" hidden="false"/>
    </xf>
    <xf numFmtId="169" fontId="11" fillId="0" borderId="0" xfId="0" applyFont="true" applyBorder="false" applyAlignment="true" applyProtection="false">
      <alignment horizontal="general" vertical="top" textRotation="0" wrapText="true" indent="0" shrinkToFit="false"/>
      <protection locked="true" hidden="false"/>
    </xf>
    <xf numFmtId="168" fontId="7" fillId="0" borderId="0" xfId="0" applyFont="true" applyBorder="false" applyAlignment="true" applyProtection="false">
      <alignment horizontal="general" vertical="top" textRotation="0" wrapText="true" indent="0" shrinkToFit="false"/>
      <protection locked="true" hidden="false"/>
    </xf>
    <xf numFmtId="170" fontId="7"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72" fontId="7" fillId="4" borderId="0" xfId="0" applyFont="true" applyBorder="false" applyAlignment="true" applyProtection="false">
      <alignment horizontal="general" vertical="top" textRotation="0" wrapText="true" indent="0" shrinkToFit="false"/>
      <protection locked="true" hidden="false"/>
    </xf>
    <xf numFmtId="173" fontId="7" fillId="4" borderId="0" xfId="0" applyFont="true" applyBorder="false" applyAlignment="true" applyProtection="false">
      <alignment horizontal="general" vertical="top" textRotation="0" wrapText="true" indent="0" shrinkToFit="false"/>
      <protection locked="true" hidden="false"/>
    </xf>
    <xf numFmtId="171" fontId="7" fillId="4" borderId="0" xfId="0" applyFont="true" applyBorder="false" applyAlignment="true" applyProtection="false">
      <alignment horizontal="general" vertical="top" textRotation="0" wrapText="true" indent="0" shrinkToFit="false"/>
      <protection locked="true" hidden="false"/>
    </xf>
    <xf numFmtId="172" fontId="7" fillId="0" borderId="0" xfId="0" applyFont="true" applyBorder="false" applyAlignment="true" applyProtection="false">
      <alignment horizontal="general" vertical="top" textRotation="0" wrapText="true" indent="0" shrinkToFit="false"/>
      <protection locked="true" hidden="false"/>
    </xf>
    <xf numFmtId="173" fontId="7" fillId="0" borderId="0" xfId="0" applyFont="true" applyBorder="false" applyAlignment="true" applyProtection="false">
      <alignment horizontal="general" vertical="top" textRotation="0" wrapText="true" indent="0" shrinkToFit="false"/>
      <protection locked="true" hidden="false"/>
    </xf>
    <xf numFmtId="171" fontId="7"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9" fontId="11" fillId="0" borderId="0" xfId="0" applyFont="true" applyBorder="false" applyAlignment="false" applyProtection="false">
      <alignment horizontal="general" vertical="bottom" textRotation="0" wrapText="false" indent="0" shrinkToFit="false"/>
      <protection locked="true" hidden="false"/>
    </xf>
    <xf numFmtId="167" fontId="0" fillId="4" borderId="0" xfId="0" applyFont="false" applyBorder="false" applyAlignment="true" applyProtection="false">
      <alignment horizontal="general" vertical="top" textRotation="0" wrapText="true" indent="0" shrinkToFit="false"/>
      <protection locked="true" hidden="false"/>
    </xf>
    <xf numFmtId="164" fontId="13" fillId="0" borderId="0" xfId="20" applyFont="true" applyBorder="fals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true" applyProtection="false">
      <alignment horizontal="general" vertical="top" textRotation="0" wrapText="true" indent="0" shrinkToFit="false"/>
      <protection locked="true" hidden="false"/>
    </xf>
    <xf numFmtId="167" fontId="7" fillId="4" borderId="0" xfId="0" applyFont="true" applyBorder="false" applyAlignment="true" applyProtection="false">
      <alignment horizontal="general" vertical="top" textRotation="0" wrapText="true" indent="0" shrinkToFit="false"/>
      <protection locked="true" hidden="false"/>
    </xf>
    <xf numFmtId="164" fontId="14" fillId="4" borderId="0" xfId="0" applyFont="true" applyBorder="false" applyAlignment="true" applyProtection="false">
      <alignment horizontal="general" vertical="top" textRotation="0" wrapText="true" indent="0" shrinkToFit="false"/>
      <protection locked="true" hidden="false"/>
    </xf>
    <xf numFmtId="167" fontId="7"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7" fontId="9" fillId="4" borderId="0" xfId="0" applyFont="true" applyBorder="false" applyAlignment="true" applyProtection="false">
      <alignment horizontal="general" vertical="top"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10">
    <dxf>
      <fill>
        <patternFill patternType="solid">
          <fgColor rgb="FF17365D"/>
          <bgColor rgb="FF000000"/>
        </patternFill>
      </fill>
    </dxf>
    <dxf>
      <fill>
        <patternFill patternType="solid">
          <fgColor rgb="FF1F4E78"/>
          <bgColor rgb="FF000000"/>
        </patternFill>
      </fill>
    </dxf>
    <dxf>
      <fill>
        <patternFill patternType="solid">
          <fgColor rgb="FFF3F6F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0000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3F6FA"/>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TAlternateSupplierAss" displayName="TAlternateSupplierAss" ref="A3:T17" headerRowCount="1" totalsRowCount="0" totalsRowShown="0">
  <autoFilter ref="A3:T17"/>
  <tableColumns count="20">
    <tableColumn id="1" name="Component"/>
    <tableColumn id="2" name="Products affected"/>
    <tableColumn id="3" name="Current supplier(s)"/>
    <tableColumn id="4" name="Candidate"/>
    <tableColumn id="5" name="Technical capability (30%)"/>
    <tableColumn id="6" name="Application relevance (20%)"/>
    <tableColumn id="7" name="Scale / footprint (15%)"/>
    <tableColumn id="8" name="Quality / qualification readiness (15%)"/>
    <tableColumn id="9" name="Design-in / substitution ease (10%)"/>
    <tableColumn id="10" name="Commercial / supply resilience (10%)"/>
    <tableColumn id="11" name="Weighted score / 5"/>
    <tableColumn id="12" name="Screening band"/>
    <tableColumn id="13" name="Evidence confidence"/>
    <tableColumn id="14" name="Evidence-based assessment"/>
    <tableColumn id="15" name="Main verification gaps"/>
    <tableColumn id="16" name="Public source URL"/>
    <tableColumn id="17" name="Decision status"/>
    <tableColumn id="18" name="Public Evidence Summary"/>
    <tableColumn id="19" name="Evidence Type"/>
    <tableColumn id="20" name="Shortlist Status"/>
  </tableColumns>
</table>
</file>

<file path=xl/tables/table2.xml><?xml version="1.0" encoding="utf-8"?>
<table xmlns="http://schemas.openxmlformats.org/spreadsheetml/2006/main" id="2" name="TComponentRisk" displayName="TComponentRisk" ref="A3:U10" headerRowCount="1" totalsRowCount="0" totalsRowShown="0">
  <autoFilter ref="A3:U10"/>
  <tableColumns count="21">
    <tableColumn id="1" name="Component ID"/>
    <tableColumn id="2" name="Component"/>
    <tableColumn id="3" name="Products Affected"/>
    <tableColumn id="4" name="Tier-1 Suppliers / Allocation"/>
    <tableColumn id="5" name="Tier-1 Weighted Risk Score"/>
    <tableColumn id="6" name="Tier-2 Suppliers"/>
    <tableColumn id="7" name="Highest Tier-2 Risk Score"/>
    <tableColumn id="8" name="Tier-3 Suppliers / Relationship Status"/>
    <tableColumn id="9" name="Highest Tier-3 Risk Score"/>
    <tableColumn id="10" name="Concentration / Dependency Score"/>
    <tableColumn id="11" name="Event Exposure Score"/>
    <tableColumn id="12" name="Calculated Component Network Risk Score"/>
    <tableColumn id="13" name="Risk Category"/>
    <tableColumn id="14" name="Evidence Confidence"/>
    <tableColumn id="15" name="Relevant Event IDs"/>
    <tableColumn id="16" name="Event / Exposure Interpretation"/>
    <tableColumn id="17" name="Key Shared Dependency"/>
    <tableColumn id="18" name="Qualification Lead Time (weeks)"/>
    <tableColumn id="19" name="Recommended Management Action"/>
    <tableColumn id="20" name="Evidence IDs / Traceability"/>
    <tableColumn id="21" name="Scoring Interpretation"/>
  </tableColumns>
</table>
</file>

<file path=xl/tables/table3.xml><?xml version="1.0" encoding="utf-8"?>
<table xmlns="http://schemas.openxmlformats.org/spreadsheetml/2006/main" id="3" name="TEventFeedAlerts" displayName="TEventFeedAlerts" ref="A3:P11" headerRowCount="1" totalsRowCount="0" totalsRowShown="0">
  <autoFilter ref="A3:P11"/>
  <tableColumns count="16">
    <tableColumn id="1" name="Event ID"/>
    <tableColumn id="2" name="Published At"/>
    <tableColumn id="3" name="Effective At"/>
    <tableColumn id="4" name="Title"/>
    <tableColumn id="5" name="Event Detail"/>
    <tableColumn id="6" name="Source Family ID"/>
    <tableColumn id="7" name="Source Type"/>
    <tableColumn id="8" name="Matched Entity / Geography"/>
    <tableColumn id="9" name="Match Result"/>
    <tableColumn id="10" name="Affected Component(s)"/>
    <tableColumn id="11" name="Affected Product(s)"/>
    <tableColumn id="12" name="Alert Priority"/>
    <tableColumn id="13" name="Management Alert"/>
    <tableColumn id="14" name="Required Verification / Next Action"/>
    <tableColumn id="15" name="False Positive / Duplication Control"/>
    <tableColumn id="16" name="Alert Source Family ID"/>
  </tableColumns>
</table>
</file>

<file path=xl/tables/table4.xml><?xml version="1.0" encoding="utf-8"?>
<table xmlns="http://schemas.openxmlformats.org/spreadsheetml/2006/main" id="4" name="TRelationshipEvidence" displayName="TRelationshipEvidence" ref="A3:H62" headerRowCount="1" totalsRowCount="0" totalsRowShown="0">
  <autoFilter ref="A3:H62"/>
  <tableColumns count="8">
    <tableColumn id="1" name="Evidence ID"/>
    <tableColumn id="2" name="Evidence Date"/>
    <tableColumn id="3" name="Evidence Type"/>
    <tableColumn id="4" name="Source Family ID"/>
    <tableColumn id="5" name="Title / Parties"/>
    <tableColumn id="6" name="Evidence Detail"/>
    <tableColumn id="7" name="Record Status"/>
    <tableColumn id="8" name="Source Locator"/>
  </tableColumns>
</table>
</file>

<file path=xl/tables/table5.xml><?xml version="1.0" encoding="utf-8"?>
<table xmlns="http://schemas.openxmlformats.org/spreadsheetml/2006/main" id="5" name="TScoringEvidenceRules" displayName="TScoringEvidenceRules" ref="A3:E20" headerRowCount="1" totalsRowCount="0" totalsRowShown="0">
  <autoFilter ref="A3:E20"/>
  <tableColumns count="5">
    <tableColumn id="1" name="Assessment"/>
    <tableColumn id="2" name="Field / Criterion"/>
    <tableColumn id="3" name="Weight / Threshold"/>
    <tableColumn id="4" name="Definition / Interpretation"/>
    <tableColumn id="5" name="Caveat / Evidence Required"/>
  </tableColumns>
</table>
</file>

<file path=xl/tables/table6.xml><?xml version="1.0" encoding="utf-8"?>
<table xmlns="http://schemas.openxmlformats.org/spreadsheetml/2006/main" id="6" name="TStartHere" displayName="TStartHere" ref="A3:B14" headerRowCount="1" totalsRowCount="0" totalsRowShown="0">
  <autoFilter ref="A3:B14"/>
  <tableColumns count="2">
    <tableColumn id="1" name="Field"/>
    <tableColumn id="2" name="Description"/>
  </tableColumns>
</table>
</file>

<file path=xl/tables/table7.xml><?xml version="1.0" encoding="utf-8"?>
<table xmlns="http://schemas.openxmlformats.org/spreadsheetml/2006/main" id="7" name="TSupplierNetwork" displayName="TSupplierNetwork" ref="A3:M41" headerRowCount="1" totalsRowCount="0" totalsRowShown="0">
  <autoFilter ref="A3:M41"/>
  <tableColumns count="13">
    <tableColumn id="1" name="Component ID"/>
    <tableColumn id="2" name="Component Name"/>
    <tableColumn id="3" name="Product(s)"/>
    <tableColumn id="4" name="Tier"/>
    <tableColumn id="5" name="Supplier / Entity"/>
    <tableColumn id="6" name="Supplies To"/>
    <tableColumn id="7" name="Allocation (if known)"/>
    <tableColumn id="8" name="Facility / Site"/>
    <tableColumn id="9" name="Relationship Status"/>
    <tableColumn id="10" name="Supplier Risk Score"/>
    <tableColumn id="11" name="Risk Category"/>
    <tableColumn id="12" name="Evidence / Source IDs"/>
    <tableColumn id="13" name="Network Interpretation / Caveat"/>
  </tableColumns>
</table>
</file>

<file path=xl/tables/table8.xml><?xml version="1.0" encoding="utf-8"?>
<table xmlns="http://schemas.openxmlformats.org/spreadsheetml/2006/main" id="8" name="TSupplierUniverseRisk" displayName="TSupplierUniverseRisk" ref="A3:Y33" headerRowCount="1" totalsRowCount="0" totalsRowShown="0">
  <autoFilter ref="A3:Y33"/>
  <tableColumns count="25">
    <tableColumn id="1" name="Entity ID"/>
    <tableColumn id="2" name="Legal Name"/>
    <tableColumn id="3" name="Entity Type"/>
    <tableColumn id="4" name="Public Capability"/>
    <tableColumn id="5" name="Registered Market"/>
    <tableColumn id="6" name="Registered Zone"/>
    <tableColumn id="7" name="Primary Facility ID"/>
    <tableColumn id="8" name="Primary Facility Name"/>
    <tableColumn id="9" name="Facility Zone"/>
    <tableColumn id="10" name="Facility Role"/>
    <tableColumn id="11" name="Facility Capability"/>
    <tableColumn id="12" name="Other Known Site / Note"/>
    <tableColumn id="13" name="Current Ratio"/>
    <tableColumn id="14" name="Net Debt / EBITDA"/>
    <tableColumn id="15" name="Shipment Timeliness - 3M Avg (%)"/>
    <tableColumn id="16" name="Timeliness Change - Jan To Latest (pp)"/>
    <tableColumn id="17" name="Assurance Gap Index"/>
    <tableColumn id="18" name="Physical Hazard Index"/>
    <tableColumn id="19" name="Logistics Friction Index"/>
    <tableColumn id="20" name="Infrastructure Index"/>
    <tableColumn id="21" name="Supplier Risk Score"/>
    <tableColumn id="22" name="Supplier Risk Category"/>
    <tableColumn id="23" name="Risk Data Completeness"/>
    <tableColumn id="24" name="Relationship Confidence"/>
    <tableColumn id="25" name="Risk Note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6.xml"/>
</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8.xml"/>
</Relationships>
</file>

<file path=xl/worksheets/_rels/sheet5.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2.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_rels/sheet10.xml.rels><?xml version="1.0" encoding="UTF-8"?>
<Relationships xmlns="http://schemas.openxmlformats.org/package/2006/relationships"><Relationship Id="rId1" Type="http://schemas.openxmlformats.org/officeDocument/2006/relationships/drawing" Target="../drawings/drawing8.xml"/><Relationship Id="rId2" Type="http://schemas.openxmlformats.org/officeDocument/2006/relationships/table" Target="../tables/table3.xml"/>
</Relationships>
</file>

<file path=xl/worksheets/_rels/sheet12.xml.rels><?xml version="1.0" encoding="UTF-8"?>
<Relationships xmlns="http://schemas.openxmlformats.org/package/2006/relationships"><Relationship Id="rId1" Type="http://schemas.openxmlformats.org/officeDocument/2006/relationships/hyperlink" Target="https://www.semikron-danfoss.com/products/power-modules" TargetMode="External"/><Relationship Id="rId2" Type="http://schemas.openxmlformats.org/officeDocument/2006/relationships/hyperlink" Target="https://www.vincotech.com/applications/industrial-drives" TargetMode="External"/><Relationship Id="rId3" Type="http://schemas.openxmlformats.org/officeDocument/2006/relationships/hyperlink" Target="https://www.semikron-danfoss.com/products/power-modules" TargetMode="External"/><Relationship Id="rId4" Type="http://schemas.openxmlformats.org/officeDocument/2006/relationships/hyperlink" Target="https://www.vincotech.com/" TargetMode="External"/><Relationship Id="rId5" Type="http://schemas.openxmlformats.org/officeDocument/2006/relationships/hyperlink" Target="https://www.jabil.com/capability/electronics.html" TargetMode="External"/><Relationship Id="rId6" Type="http://schemas.openxmlformats.org/officeDocument/2006/relationships/hyperlink" Target="https://www.sanmina.com/contract-manufacturing-design/pcb-assembly-smt/" TargetMode="External"/><Relationship Id="rId7" Type="http://schemas.openxmlformats.org/officeDocument/2006/relationships/hyperlink" Target="https://product.tdk.com/en/products/capacitor/film/dc-link/index.html" TargetMode="External"/><Relationship Id="rId8" Type="http://schemas.openxmlformats.org/officeDocument/2006/relationships/hyperlink" Target="https://www.vishay.com/en/capacitors/film/dc-link/" TargetMode="External"/><Relationship Id="rId9" Type="http://schemas.openxmlformats.org/officeDocument/2006/relationships/hyperlink" Target="https://www.nvent.com/en-in/hoffman" TargetMode="External"/><Relationship Id="rId10" Type="http://schemas.openxmlformats.org/officeDocument/2006/relationships/hyperlink" Target="https://www.hammfg.com/electrical/products/aluminum" TargetMode="External"/><Relationship Id="rId11" Type="http://schemas.openxmlformats.org/officeDocument/2006/relationships/hyperlink" Target="https://www.boydcorp.com/thermal/liquid-cooling-systems.html" TargetMode="External"/><Relationship Id="rId12" Type="http://schemas.openxmlformats.org/officeDocument/2006/relationships/hyperlink" Target="https://www.modine.com/news/how-it-works-electronics-cooling-package/" TargetMode="External"/><Relationship Id="rId13" Type="http://schemas.openxmlformats.org/officeDocument/2006/relationships/hyperlink" Target="https://www.jabil.com/capability/electronics.html" TargetMode="External"/><Relationship Id="rId14" Type="http://schemas.openxmlformats.org/officeDocument/2006/relationships/hyperlink" Target="https://www.sanmina.com/contract-manufacturing-design/pcb-assembly-smt/" TargetMode="External"/><Relationship Id="rId15" Type="http://schemas.openxmlformats.org/officeDocument/2006/relationships/hyperlink" Target="https://www.infineon.com/products/power/igbt" TargetMode="External"/><Relationship Id="rId16" Type="http://schemas.openxmlformats.org/officeDocument/2006/relationships/hyperlink" Target="https://www.st.com/content/dam/static-page/events/apec-2024/demo-apec-24-next-gen-pwr-discretes.pdf" TargetMode="External"/><Relationship Id="rId17" Type="http://schemas.openxmlformats.org/officeDocument/2006/relationships/hyperlink" Target="https://onsemi.com/products/discrete-power-modules/silicon-carbide-sic/silicon-carbide-sic-mosfets-bare-die" TargetMode="External"/><Relationship Id="rId18" Type="http://schemas.openxmlformats.org/officeDocument/2006/relationships/hyperlink" Target="https://www.ttm.com/en/markets-we-serve/industrial-and-instrumentation/capabilities" TargetMode="External"/><Relationship Id="rId19" Type="http://schemas.openxmlformats.org/officeDocument/2006/relationships/hyperlink" Target="https://www.we-online.com/en/index" TargetMode="External"/><Relationship Id="rId20" Type="http://schemas.openxmlformats.org/officeDocument/2006/relationships/hyperlink" Target="https://www.films.toray/en/products/torayfan/" TargetMode="External"/><Relationship Id="rId21" Type="http://schemas.openxmlformats.org/officeDocument/2006/relationships/hyperlink" Target="https://www.steinerfilm.com/p-bopp" TargetMode="External"/><Relationship Id="rId22" Type="http://schemas.openxmlformats.org/officeDocument/2006/relationships/drawing" Target="../drawings/drawing9.xml"/><Relationship Id="rId23" Type="http://schemas.openxmlformats.org/officeDocument/2006/relationships/table" Target="../tables/table1.xml"/>
</Relationships>
</file>

<file path=xl/worksheets/_rels/sheet13.xml.rels><?xml version="1.0" encoding="UTF-8"?>
<Relationships xmlns="http://schemas.openxmlformats.org/package/2006/relationships"><Relationship Id="rId1" Type="http://schemas.openxmlformats.org/officeDocument/2006/relationships/drawing" Target="../drawings/drawing10.xml"/><Relationship Id="rId2" Type="http://schemas.openxmlformats.org/officeDocument/2006/relationships/table" Target="../tables/table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8"/>
  </cols>
  <sheetData>
    <row r="1" customFormat="false" ht="27.75" hidden="false" customHeight="true" outlineLevel="0" collapsed="false">
      <c r="A1" s="1" t="s">
        <v>0</v>
      </c>
      <c r="B1" s="1"/>
    </row>
    <row r="2" customFormat="false" ht="31.5" hidden="false" customHeight="true" outlineLevel="0" collapsed="false">
      <c r="A2" s="2" t="s">
        <v>1</v>
      </c>
      <c r="B2" s="2"/>
    </row>
    <row r="3" customFormat="false" ht="31.5" hidden="false" customHeight="true" outlineLevel="0" collapsed="false">
      <c r="A3" s="3" t="s">
        <v>2</v>
      </c>
      <c r="B3" s="3" t="s">
        <v>3</v>
      </c>
    </row>
    <row r="4" customFormat="false" ht="93.75" hidden="false" customHeight="true" outlineLevel="0" collapsed="false">
      <c r="A4" s="4" t="s">
        <v>4</v>
      </c>
      <c r="B4" s="4" t="s">
        <v>5</v>
      </c>
    </row>
    <row r="5" customFormat="false" ht="108.75" hidden="false" customHeight="true" outlineLevel="0" collapsed="false">
      <c r="A5" s="5" t="s">
        <v>6</v>
      </c>
      <c r="B5" s="5" t="s">
        <v>7</v>
      </c>
    </row>
    <row r="6" customFormat="false" ht="108.75" hidden="false" customHeight="true" outlineLevel="0" collapsed="false">
      <c r="A6" s="4" t="s">
        <v>8</v>
      </c>
      <c r="B6" s="4" t="s">
        <v>9</v>
      </c>
    </row>
    <row r="7" customFormat="false" ht="123.75" hidden="false" customHeight="true" outlineLevel="0" collapsed="false">
      <c r="A7" s="5" t="s">
        <v>10</v>
      </c>
      <c r="B7" s="5" t="s">
        <v>11</v>
      </c>
    </row>
    <row r="8" customFormat="false" ht="153.75" hidden="false" customHeight="true" outlineLevel="0" collapsed="false">
      <c r="A8" s="4" t="s">
        <v>12</v>
      </c>
      <c r="B8" s="4" t="s">
        <v>13</v>
      </c>
    </row>
    <row r="9" customFormat="false" ht="78.75" hidden="false" customHeight="true" outlineLevel="0" collapsed="false">
      <c r="A9" s="5" t="s">
        <v>14</v>
      </c>
      <c r="B9" s="5" t="s">
        <v>15</v>
      </c>
    </row>
    <row r="10" customFormat="false" ht="183.75" hidden="false" customHeight="true" outlineLevel="0" collapsed="false">
      <c r="A10" s="4" t="s">
        <v>16</v>
      </c>
      <c r="B10" s="4" t="s">
        <v>17</v>
      </c>
    </row>
    <row r="11" customFormat="false" ht="123.75" hidden="false" customHeight="true" outlineLevel="0" collapsed="false">
      <c r="A11" s="5" t="s">
        <v>18</v>
      </c>
      <c r="B11" s="5" t="s">
        <v>19</v>
      </c>
    </row>
    <row r="12" customFormat="false" ht="108.75" hidden="false" customHeight="true" outlineLevel="0" collapsed="false">
      <c r="A12" s="4" t="s">
        <v>20</v>
      </c>
      <c r="B12" s="4" t="s">
        <v>21</v>
      </c>
    </row>
    <row r="13" customFormat="false" ht="138.75" hidden="false" customHeight="true" outlineLevel="0" collapsed="false">
      <c r="A13" s="5" t="s">
        <v>22</v>
      </c>
      <c r="B13" s="5" t="s">
        <v>23</v>
      </c>
    </row>
    <row r="14" customFormat="false" ht="108.75" hidden="false" customHeight="true" outlineLevel="0" collapsed="false">
      <c r="A14" s="4" t="s">
        <v>24</v>
      </c>
      <c r="B14" s="4" t="s">
        <v>25</v>
      </c>
    </row>
    <row r="15" customFormat="false" ht="228.75" hidden="false" customHeight="true" outlineLevel="0" collapsed="false">
      <c r="A15" s="6" t="s">
        <v>26</v>
      </c>
      <c r="B15" s="6" t="s">
        <v>27</v>
      </c>
    </row>
    <row r="16" customFormat="false" ht="48.75" hidden="false" customHeight="true" outlineLevel="0" collapsed="false">
      <c r="A16" s="7" t="s">
        <v>28</v>
      </c>
      <c r="B16" s="7" t="s">
        <v>29</v>
      </c>
    </row>
    <row r="17" customFormat="false" ht="228.75" hidden="false" customHeight="true" outlineLevel="0" collapsed="false">
      <c r="A17" s="6" t="s">
        <v>30</v>
      </c>
      <c r="B17" s="6" t="s">
        <v>31</v>
      </c>
    </row>
  </sheetData>
  <autoFilter ref="A3:B17"/>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7"/>
    <col collapsed="false" customWidth="true" hidden="false" outlineLevel="0" max="3" min="3" style="0" width="25"/>
    <col collapsed="false" customWidth="true" hidden="false" outlineLevel="0" max="5" min="4" style="0" width="45"/>
    <col collapsed="false" customWidth="true" hidden="false" outlineLevel="0" max="6" min="6" style="0" width="21"/>
  </cols>
  <sheetData>
    <row r="1" customFormat="false" ht="17.35" hidden="false" customHeight="false" outlineLevel="0" collapsed="false">
      <c r="A1" s="8" t="s">
        <v>32</v>
      </c>
      <c r="B1" s="8"/>
      <c r="C1" s="8"/>
      <c r="D1" s="8"/>
      <c r="E1" s="8"/>
      <c r="F1" s="8"/>
    </row>
    <row r="2" customFormat="false" ht="15" hidden="false" customHeight="false" outlineLevel="0" collapsed="false">
      <c r="A2" s="3" t="s">
        <v>33</v>
      </c>
      <c r="B2" s="3" t="s">
        <v>34</v>
      </c>
      <c r="C2" s="3" t="s">
        <v>35</v>
      </c>
      <c r="D2" s="3" t="s">
        <v>36</v>
      </c>
      <c r="E2" s="3" t="s">
        <v>37</v>
      </c>
      <c r="F2" s="3" t="s">
        <v>38</v>
      </c>
    </row>
    <row r="3" customFormat="false" ht="31.5" hidden="false" customHeight="true" outlineLevel="0" collapsed="false">
      <c r="A3" s="5" t="s">
        <v>39</v>
      </c>
      <c r="B3" s="5" t="s">
        <v>40</v>
      </c>
      <c r="C3" s="5" t="n">
        <v>624</v>
      </c>
      <c r="D3" s="5" t="n">
        <v>2000</v>
      </c>
      <c r="E3" s="5" t="s">
        <v>41</v>
      </c>
      <c r="F3" s="5" t="s">
        <v>42</v>
      </c>
    </row>
    <row r="4" customFormat="false" ht="31.5" hidden="false" customHeight="true" outlineLevel="0" collapsed="false">
      <c r="A4" s="5" t="s">
        <v>43</v>
      </c>
      <c r="B4" s="5" t="s">
        <v>44</v>
      </c>
      <c r="C4" s="5" t="n">
        <v>520</v>
      </c>
      <c r="D4" s="5" t="n">
        <v>1000</v>
      </c>
      <c r="E4" s="5" t="s">
        <v>45</v>
      </c>
      <c r="F4" s="5" t="s">
        <v>42</v>
      </c>
    </row>
    <row r="5" customFormat="false" ht="31.5" hidden="false" customHeight="true" outlineLevel="0" collapsed="false">
      <c r="A5" s="5" t="s">
        <v>46</v>
      </c>
      <c r="B5" s="5" t="s">
        <v>47</v>
      </c>
      <c r="C5" s="5" t="n">
        <v>416</v>
      </c>
      <c r="D5" s="5" t="n">
        <v>800</v>
      </c>
      <c r="E5" s="5" t="s">
        <v>48</v>
      </c>
      <c r="F5" s="5" t="s">
        <v>42</v>
      </c>
    </row>
    <row r="8" customFormat="false" ht="17.35" hidden="false" customHeight="false" outlineLevel="0" collapsed="false">
      <c r="A8" s="8" t="s">
        <v>49</v>
      </c>
      <c r="B8" s="8"/>
      <c r="C8" s="8"/>
      <c r="D8" s="8"/>
      <c r="E8" s="8"/>
    </row>
    <row r="9" customFormat="false" ht="28.35" hidden="false" customHeight="false" outlineLevel="0" collapsed="false">
      <c r="A9" s="3" t="s">
        <v>50</v>
      </c>
      <c r="B9" s="3" t="s">
        <v>51</v>
      </c>
      <c r="C9" s="3" t="s">
        <v>52</v>
      </c>
      <c r="D9" s="3" t="s">
        <v>53</v>
      </c>
      <c r="E9" s="3" t="s">
        <v>54</v>
      </c>
    </row>
    <row r="10" customFormat="false" ht="61.5" hidden="false" customHeight="true" outlineLevel="0" collapsed="false">
      <c r="A10" s="5" t="s">
        <v>55</v>
      </c>
      <c r="B10" s="5" t="s">
        <v>56</v>
      </c>
      <c r="C10" s="5" t="s">
        <v>57</v>
      </c>
      <c r="D10" s="5" t="n">
        <v>16</v>
      </c>
      <c r="E10" s="5" t="s">
        <v>58</v>
      </c>
    </row>
    <row r="11" customFormat="false" ht="61.5" hidden="false" customHeight="true" outlineLevel="0" collapsed="false">
      <c r="A11" s="5" t="s">
        <v>59</v>
      </c>
      <c r="B11" s="5" t="s">
        <v>60</v>
      </c>
      <c r="C11" s="5" t="s">
        <v>61</v>
      </c>
      <c r="D11" s="5" t="n">
        <v>16</v>
      </c>
      <c r="E11" s="5" t="s">
        <v>62</v>
      </c>
    </row>
    <row r="12" customFormat="false" ht="61.5" hidden="false" customHeight="true" outlineLevel="0" collapsed="false">
      <c r="A12" s="5" t="s">
        <v>63</v>
      </c>
      <c r="B12" s="5" t="s">
        <v>64</v>
      </c>
      <c r="C12" s="5" t="s">
        <v>65</v>
      </c>
      <c r="D12" s="5" t="n">
        <v>12</v>
      </c>
      <c r="E12" s="5" t="s">
        <v>66</v>
      </c>
    </row>
    <row r="13" customFormat="false" ht="61.5" hidden="false" customHeight="true" outlineLevel="0" collapsed="false">
      <c r="A13" s="5" t="s">
        <v>67</v>
      </c>
      <c r="B13" s="5" t="s">
        <v>68</v>
      </c>
      <c r="C13" s="5" t="s">
        <v>69</v>
      </c>
      <c r="D13" s="5" t="n">
        <v>8</v>
      </c>
      <c r="E13" s="5" t="s">
        <v>70</v>
      </c>
    </row>
    <row r="14" customFormat="false" ht="61.5" hidden="false" customHeight="true" outlineLevel="0" collapsed="false">
      <c r="A14" s="5" t="s">
        <v>71</v>
      </c>
      <c r="B14" s="5" t="s">
        <v>72</v>
      </c>
      <c r="C14" s="5" t="s">
        <v>73</v>
      </c>
      <c r="D14" s="5" t="n">
        <v>4</v>
      </c>
      <c r="E14" s="5" t="s">
        <v>74</v>
      </c>
    </row>
    <row r="15" customFormat="false" ht="61.5" hidden="false" customHeight="true" outlineLevel="0" collapsed="false">
      <c r="A15" s="5" t="s">
        <v>75</v>
      </c>
      <c r="B15" s="5" t="s">
        <v>76</v>
      </c>
      <c r="C15" s="5" t="s">
        <v>77</v>
      </c>
      <c r="D15" s="5" t="n">
        <v>6</v>
      </c>
      <c r="E15" s="5" t="s">
        <v>78</v>
      </c>
    </row>
    <row r="16" customFormat="false" ht="61.5" hidden="false" customHeight="true" outlineLevel="0" collapsed="false">
      <c r="A16" s="5" t="s">
        <v>79</v>
      </c>
      <c r="B16" s="5" t="s">
        <v>80</v>
      </c>
      <c r="C16" s="5" t="s">
        <v>81</v>
      </c>
      <c r="D16" s="5" t="n">
        <v>12</v>
      </c>
      <c r="E16" s="5" t="s">
        <v>82</v>
      </c>
    </row>
  </sheetData>
  <mergeCells count="2">
    <mergeCell ref="A1:F1"/>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27"/>
    <col collapsed="false" customWidth="true" hidden="false" outlineLevel="0" max="4" min="4" style="0" width="28"/>
    <col collapsed="false" customWidth="true" hidden="false" outlineLevel="0" max="5" min="5" style="0" width="19"/>
    <col collapsed="false" customWidth="true" hidden="false" outlineLevel="0" max="6" min="6" style="0" width="17"/>
    <col collapsed="false" customWidth="true" hidden="false" outlineLevel="0" max="7" min="7" style="0" width="21"/>
    <col collapsed="false" customWidth="true" hidden="false" outlineLevel="0" max="8" min="8" style="0" width="23"/>
    <col collapsed="false" customWidth="true" hidden="false" outlineLevel="0" max="9" min="9" style="0" width="15"/>
    <col collapsed="false" customWidth="true" hidden="false" outlineLevel="0" max="10" min="10" style="0" width="19"/>
    <col collapsed="false" customWidth="true" hidden="false" outlineLevel="0" max="11" min="11" style="0" width="28"/>
    <col collapsed="false" customWidth="true" hidden="false" outlineLevel="0" max="12" min="12" style="0" width="52"/>
    <col collapsed="false" customWidth="true" hidden="false" outlineLevel="0" max="13" min="13" style="0" width="15"/>
    <col collapsed="false" customWidth="true" hidden="false" outlineLevel="0" max="14" min="14" style="0" width="19"/>
    <col collapsed="false" customWidth="true" hidden="false" outlineLevel="0" max="16" min="15" style="0" width="28"/>
    <col collapsed="false" customWidth="true" hidden="false" outlineLevel="0" max="17" min="17" style="0" width="24"/>
    <col collapsed="false" customWidth="true" hidden="false" outlineLevel="0" max="18" min="18" style="0" width="23"/>
    <col collapsed="false" customWidth="true" hidden="false" outlineLevel="0" max="19" min="19" style="0" width="26"/>
    <col collapsed="false" customWidth="true" hidden="false" outlineLevel="0" max="20" min="20" style="0" width="22"/>
    <col collapsed="false" customWidth="true" hidden="false" outlineLevel="0" max="21" min="21" style="0" width="21"/>
    <col collapsed="false" customWidth="true" hidden="false" outlineLevel="0" max="23" min="22" style="0" width="24"/>
    <col collapsed="false" customWidth="true" hidden="false" outlineLevel="0" max="24" min="24" style="0" width="25"/>
    <col collapsed="false" customWidth="true" hidden="false" outlineLevel="0" max="25" min="25" style="0" width="24"/>
  </cols>
  <sheetData>
    <row r="1" customFormat="false" ht="27.75" hidden="false" customHeight="true" outlineLevel="0" collapsed="false">
      <c r="A1" s="1" t="s">
        <v>83</v>
      </c>
      <c r="B1" s="1"/>
      <c r="C1" s="1"/>
      <c r="D1" s="1"/>
      <c r="E1" s="1"/>
      <c r="F1" s="1"/>
      <c r="G1" s="1"/>
      <c r="H1" s="1"/>
      <c r="I1" s="1"/>
      <c r="J1" s="1"/>
      <c r="K1" s="1"/>
      <c r="L1" s="1"/>
      <c r="M1" s="1"/>
      <c r="N1" s="1"/>
      <c r="O1" s="1"/>
      <c r="P1" s="1"/>
      <c r="Q1" s="1"/>
      <c r="R1" s="1"/>
      <c r="S1" s="1"/>
      <c r="T1" s="1"/>
      <c r="U1" s="1"/>
      <c r="V1" s="1"/>
      <c r="W1" s="1"/>
      <c r="X1" s="1"/>
      <c r="Y1" s="1"/>
    </row>
    <row r="2" customFormat="false" ht="31.5" hidden="false" customHeight="true" outlineLevel="0" collapsed="false">
      <c r="A2" s="2" t="s">
        <v>84</v>
      </c>
      <c r="B2" s="2"/>
      <c r="C2" s="2"/>
      <c r="D2" s="2"/>
      <c r="E2" s="2"/>
      <c r="F2" s="2"/>
      <c r="G2" s="2"/>
      <c r="H2" s="2"/>
      <c r="I2" s="2"/>
      <c r="J2" s="2"/>
      <c r="K2" s="2"/>
      <c r="L2" s="2"/>
      <c r="M2" s="2"/>
      <c r="N2" s="2"/>
      <c r="O2" s="2"/>
      <c r="P2" s="2"/>
      <c r="Q2" s="2"/>
      <c r="R2" s="2"/>
      <c r="S2" s="2"/>
      <c r="T2" s="2"/>
      <c r="U2" s="2"/>
      <c r="V2" s="2"/>
      <c r="W2" s="2"/>
      <c r="X2" s="2"/>
      <c r="Y2" s="2"/>
    </row>
    <row r="3" customFormat="false" ht="31.5" hidden="false" customHeight="true" outlineLevel="0" collapsed="false">
      <c r="A3" s="3" t="s">
        <v>85</v>
      </c>
      <c r="B3" s="3" t="s">
        <v>86</v>
      </c>
      <c r="C3" s="3" t="s">
        <v>87</v>
      </c>
      <c r="D3" s="3" t="s">
        <v>88</v>
      </c>
      <c r="E3" s="3" t="s">
        <v>89</v>
      </c>
      <c r="F3" s="3" t="s">
        <v>90</v>
      </c>
      <c r="G3" s="3" t="s">
        <v>91</v>
      </c>
      <c r="H3" s="3" t="s">
        <v>92</v>
      </c>
      <c r="I3" s="3" t="s">
        <v>93</v>
      </c>
      <c r="J3" s="3" t="s">
        <v>94</v>
      </c>
      <c r="K3" s="3" t="s">
        <v>95</v>
      </c>
      <c r="L3" s="3" t="s">
        <v>96</v>
      </c>
      <c r="M3" s="3" t="s">
        <v>97</v>
      </c>
      <c r="N3" s="3" t="s">
        <v>98</v>
      </c>
      <c r="O3" s="3" t="s">
        <v>99</v>
      </c>
      <c r="P3" s="3" t="s">
        <v>100</v>
      </c>
      <c r="Q3" s="3" t="s">
        <v>101</v>
      </c>
      <c r="R3" s="3" t="s">
        <v>102</v>
      </c>
      <c r="S3" s="3" t="s">
        <v>103</v>
      </c>
      <c r="T3" s="3" t="s">
        <v>104</v>
      </c>
      <c r="U3" s="3" t="s">
        <v>105</v>
      </c>
      <c r="V3" s="3" t="s">
        <v>106</v>
      </c>
      <c r="W3" s="3" t="s">
        <v>107</v>
      </c>
      <c r="X3" s="3" t="s">
        <v>108</v>
      </c>
      <c r="Y3" s="3" t="s">
        <v>109</v>
      </c>
    </row>
    <row r="4" customFormat="false" ht="30" hidden="false" customHeight="true" outlineLevel="0" collapsed="false">
      <c r="A4" s="4" t="s">
        <v>110</v>
      </c>
      <c r="B4" s="4" t="s">
        <v>111</v>
      </c>
      <c r="C4" s="4" t="s">
        <v>112</v>
      </c>
      <c r="D4" s="4" t="s">
        <v>113</v>
      </c>
      <c r="E4" s="4" t="s">
        <v>114</v>
      </c>
      <c r="F4" s="4" t="s">
        <v>115</v>
      </c>
      <c r="G4" s="4" t="s">
        <v>116</v>
      </c>
      <c r="H4" s="4" t="s">
        <v>117</v>
      </c>
      <c r="I4" s="4" t="s">
        <v>115</v>
      </c>
      <c r="J4" s="4" t="s">
        <v>118</v>
      </c>
      <c r="K4" s="4" t="s">
        <v>113</v>
      </c>
      <c r="L4" s="4"/>
      <c r="M4" s="4" t="n">
        <v>2.13</v>
      </c>
      <c r="N4" s="4" t="n">
        <v>2</v>
      </c>
      <c r="O4" s="4" t="n">
        <v>80.9</v>
      </c>
      <c r="P4" s="4" t="n">
        <v>2.3</v>
      </c>
      <c r="Q4" s="4" t="n">
        <v>24</v>
      </c>
      <c r="R4" s="4" t="n">
        <v>27</v>
      </c>
      <c r="S4" s="4" t="n">
        <v>30</v>
      </c>
      <c r="T4" s="4" t="n">
        <v>24</v>
      </c>
      <c r="U4" s="4" t="n">
        <v>51.8</v>
      </c>
      <c r="V4" s="4" t="s">
        <v>119</v>
      </c>
      <c r="W4" s="4" t="s">
        <v>120</v>
      </c>
      <c r="X4" s="4" t="s">
        <v>121</v>
      </c>
      <c r="Y4" s="4"/>
    </row>
    <row r="5" customFormat="false" ht="30" hidden="false" customHeight="true" outlineLevel="0" collapsed="false">
      <c r="A5" s="5" t="s">
        <v>122</v>
      </c>
      <c r="B5" s="5" t="s">
        <v>123</v>
      </c>
      <c r="C5" s="5" t="s">
        <v>112</v>
      </c>
      <c r="D5" s="5" t="s">
        <v>113</v>
      </c>
      <c r="E5" s="5" t="s">
        <v>124</v>
      </c>
      <c r="F5" s="5" t="s">
        <v>125</v>
      </c>
      <c r="G5" s="5" t="s">
        <v>126</v>
      </c>
      <c r="H5" s="5" t="s">
        <v>127</v>
      </c>
      <c r="I5" s="5" t="s">
        <v>125</v>
      </c>
      <c r="J5" s="5" t="s">
        <v>118</v>
      </c>
      <c r="K5" s="5" t="s">
        <v>113</v>
      </c>
      <c r="L5" s="5"/>
      <c r="M5" s="5" t="n">
        <v>1.54</v>
      </c>
      <c r="N5" s="5" t="n">
        <v>3</v>
      </c>
      <c r="O5" s="5" t="n">
        <v>83.1</v>
      </c>
      <c r="P5" s="5" t="n">
        <v>2.2</v>
      </c>
      <c r="Q5" s="5" t="n">
        <v>33</v>
      </c>
      <c r="R5" s="5" t="n">
        <v>31</v>
      </c>
      <c r="S5" s="5" t="n">
        <v>23</v>
      </c>
      <c r="T5" s="5" t="n">
        <v>19</v>
      </c>
      <c r="U5" s="5" t="n">
        <v>52.7</v>
      </c>
      <c r="V5" s="5" t="s">
        <v>119</v>
      </c>
      <c r="W5" s="5" t="s">
        <v>120</v>
      </c>
      <c r="X5" s="5" t="s">
        <v>121</v>
      </c>
      <c r="Y5" s="5"/>
    </row>
    <row r="6" customFormat="false" ht="30" hidden="false" customHeight="true" outlineLevel="0" collapsed="false">
      <c r="A6" s="4" t="s">
        <v>128</v>
      </c>
      <c r="B6" s="4" t="s">
        <v>129</v>
      </c>
      <c r="C6" s="4" t="s">
        <v>112</v>
      </c>
      <c r="D6" s="4" t="s">
        <v>130</v>
      </c>
      <c r="E6" s="4" t="s">
        <v>131</v>
      </c>
      <c r="F6" s="4" t="s">
        <v>132</v>
      </c>
      <c r="G6" s="4" t="s">
        <v>133</v>
      </c>
      <c r="H6" s="4" t="s">
        <v>134</v>
      </c>
      <c r="I6" s="4" t="s">
        <v>132</v>
      </c>
      <c r="J6" s="4" t="s">
        <v>118</v>
      </c>
      <c r="K6" s="4" t="s">
        <v>130</v>
      </c>
      <c r="L6" s="4"/>
      <c r="M6" s="4" t="n">
        <v>2.34</v>
      </c>
      <c r="N6" s="4" t="n">
        <v>4</v>
      </c>
      <c r="O6" s="4" t="n">
        <v>83.3</v>
      </c>
      <c r="P6" s="4" t="n">
        <v>-2.3</v>
      </c>
      <c r="Q6" s="4" t="n">
        <v>42</v>
      </c>
      <c r="R6" s="4" t="n">
        <v>58</v>
      </c>
      <c r="S6" s="4" t="n">
        <v>62</v>
      </c>
      <c r="T6" s="4" t="n">
        <v>52</v>
      </c>
      <c r="U6" s="4" t="n">
        <v>69</v>
      </c>
      <c r="V6" s="4" t="s">
        <v>135</v>
      </c>
      <c r="W6" s="4" t="s">
        <v>120</v>
      </c>
      <c r="X6" s="4" t="s">
        <v>121</v>
      </c>
      <c r="Y6" s="4"/>
    </row>
    <row r="7" customFormat="false" ht="30" hidden="false" customHeight="true" outlineLevel="0" collapsed="false">
      <c r="A7" s="5" t="s">
        <v>136</v>
      </c>
      <c r="B7" s="5" t="s">
        <v>137</v>
      </c>
      <c r="C7" s="5" t="s">
        <v>138</v>
      </c>
      <c r="D7" s="5" t="s">
        <v>138</v>
      </c>
      <c r="E7" s="5" t="s">
        <v>124</v>
      </c>
      <c r="F7" s="5" t="s">
        <v>125</v>
      </c>
      <c r="G7" s="5" t="s">
        <v>139</v>
      </c>
      <c r="H7" s="5" t="s">
        <v>140</v>
      </c>
      <c r="I7" s="5" t="s">
        <v>125</v>
      </c>
      <c r="J7" s="5" t="s">
        <v>141</v>
      </c>
      <c r="K7" s="5" t="s">
        <v>138</v>
      </c>
      <c r="L7" s="5"/>
      <c r="M7" s="5" t="n">
        <v>2.04</v>
      </c>
      <c r="N7" s="5" t="n">
        <v>1</v>
      </c>
      <c r="O7" s="5" t="n">
        <v>87.6</v>
      </c>
      <c r="P7" s="5" t="n">
        <v>-1.1</v>
      </c>
      <c r="Q7" s="5" t="n">
        <v>45</v>
      </c>
      <c r="R7" s="5" t="n">
        <v>31</v>
      </c>
      <c r="S7" s="5" t="n">
        <v>23</v>
      </c>
      <c r="T7" s="5" t="n">
        <v>19</v>
      </c>
      <c r="U7" s="5"/>
      <c r="V7" s="5"/>
      <c r="W7" s="5"/>
      <c r="X7" s="5"/>
      <c r="Y7" s="5"/>
    </row>
    <row r="8" customFormat="false" ht="30" hidden="false" customHeight="true" outlineLevel="0" collapsed="false">
      <c r="A8" s="4" t="s">
        <v>142</v>
      </c>
      <c r="B8" s="4" t="s">
        <v>143</v>
      </c>
      <c r="C8" s="4" t="s">
        <v>112</v>
      </c>
      <c r="D8" s="4" t="s">
        <v>144</v>
      </c>
      <c r="E8" s="4" t="s">
        <v>124</v>
      </c>
      <c r="F8" s="4" t="s">
        <v>145</v>
      </c>
      <c r="G8" s="4" t="s">
        <v>146</v>
      </c>
      <c r="H8" s="4" t="s">
        <v>147</v>
      </c>
      <c r="I8" s="4" t="s">
        <v>145</v>
      </c>
      <c r="J8" s="4" t="s">
        <v>118</v>
      </c>
      <c r="K8" s="4" t="s">
        <v>144</v>
      </c>
      <c r="L8" s="4"/>
      <c r="M8" s="4" t="n">
        <v>1.82</v>
      </c>
      <c r="N8" s="4" t="n">
        <v>1.67</v>
      </c>
      <c r="O8" s="4" t="n">
        <v>86.9</v>
      </c>
      <c r="P8" s="4" t="n">
        <v>2.2</v>
      </c>
      <c r="Q8" s="4" t="n">
        <v>51</v>
      </c>
      <c r="R8" s="4" t="n">
        <v>19</v>
      </c>
      <c r="S8" s="4" t="n">
        <v>26</v>
      </c>
      <c r="T8" s="4" t="n">
        <v>25</v>
      </c>
      <c r="U8" s="4" t="n">
        <v>49.7</v>
      </c>
      <c r="V8" s="4" t="s">
        <v>119</v>
      </c>
      <c r="W8" s="4" t="s">
        <v>120</v>
      </c>
      <c r="X8" s="4" t="s">
        <v>121</v>
      </c>
      <c r="Y8" s="4"/>
    </row>
    <row r="9" customFormat="false" ht="30" hidden="false" customHeight="true" outlineLevel="0" collapsed="false">
      <c r="A9" s="5" t="s">
        <v>148</v>
      </c>
      <c r="B9" s="5" t="s">
        <v>149</v>
      </c>
      <c r="C9" s="5" t="s">
        <v>112</v>
      </c>
      <c r="D9" s="5" t="s">
        <v>150</v>
      </c>
      <c r="E9" s="5" t="s">
        <v>114</v>
      </c>
      <c r="F9" s="5" t="s">
        <v>115</v>
      </c>
      <c r="G9" s="5" t="s">
        <v>151</v>
      </c>
      <c r="H9" s="5" t="s">
        <v>147</v>
      </c>
      <c r="I9" s="5" t="s">
        <v>115</v>
      </c>
      <c r="J9" s="5" t="s">
        <v>118</v>
      </c>
      <c r="K9" s="5" t="s">
        <v>150</v>
      </c>
      <c r="L9" s="5"/>
      <c r="M9" s="5"/>
      <c r="N9" s="5"/>
      <c r="O9" s="5" t="n">
        <v>83.7</v>
      </c>
      <c r="P9" s="5" t="n">
        <v>2.2</v>
      </c>
      <c r="Q9" s="5"/>
      <c r="R9" s="5" t="n">
        <v>27</v>
      </c>
      <c r="S9" s="5" t="n">
        <v>30</v>
      </c>
      <c r="T9" s="5" t="n">
        <v>24</v>
      </c>
      <c r="U9" s="5"/>
      <c r="V9" s="5"/>
      <c r="W9" s="5"/>
      <c r="X9" s="5"/>
      <c r="Y9" s="5"/>
    </row>
    <row r="10" customFormat="false" ht="30" hidden="false" customHeight="true" outlineLevel="0" collapsed="false">
      <c r="A10" s="4" t="s">
        <v>152</v>
      </c>
      <c r="B10" s="4" t="s">
        <v>153</v>
      </c>
      <c r="C10" s="4" t="s">
        <v>112</v>
      </c>
      <c r="D10" s="4" t="s">
        <v>154</v>
      </c>
      <c r="E10" s="4" t="s">
        <v>155</v>
      </c>
      <c r="F10" s="4" t="s">
        <v>156</v>
      </c>
      <c r="G10" s="4" t="s">
        <v>157</v>
      </c>
      <c r="H10" s="4" t="s">
        <v>158</v>
      </c>
      <c r="I10" s="4" t="s">
        <v>156</v>
      </c>
      <c r="J10" s="4" t="s">
        <v>118</v>
      </c>
      <c r="K10" s="4" t="s">
        <v>154</v>
      </c>
      <c r="L10" s="4"/>
      <c r="M10" s="4" t="n">
        <v>2.53</v>
      </c>
      <c r="N10" s="4" t="n">
        <v>2.67</v>
      </c>
      <c r="O10" s="4" t="n">
        <v>89.7</v>
      </c>
      <c r="P10" s="4" t="n">
        <v>1.8</v>
      </c>
      <c r="Q10" s="4" t="n">
        <v>60</v>
      </c>
      <c r="R10" s="4" t="n">
        <v>67</v>
      </c>
      <c r="S10" s="4" t="n">
        <v>59</v>
      </c>
      <c r="T10" s="4" t="n">
        <v>54</v>
      </c>
      <c r="U10" s="4" t="n">
        <v>48.4</v>
      </c>
      <c r="V10" s="4" t="s">
        <v>119</v>
      </c>
      <c r="W10" s="4" t="s">
        <v>120</v>
      </c>
      <c r="X10" s="4" t="s">
        <v>121</v>
      </c>
      <c r="Y10" s="4"/>
    </row>
    <row r="11" customFormat="false" ht="30" hidden="false" customHeight="true" outlineLevel="0" collapsed="false">
      <c r="A11" s="5" t="s">
        <v>159</v>
      </c>
      <c r="B11" s="5" t="s">
        <v>160</v>
      </c>
      <c r="C11" s="5" t="s">
        <v>112</v>
      </c>
      <c r="D11" s="5" t="s">
        <v>161</v>
      </c>
      <c r="E11" s="5" t="s">
        <v>114</v>
      </c>
      <c r="F11" s="5" t="s">
        <v>115</v>
      </c>
      <c r="G11" s="5" t="s">
        <v>162</v>
      </c>
      <c r="H11" s="5" t="s">
        <v>163</v>
      </c>
      <c r="I11" s="5" t="s">
        <v>115</v>
      </c>
      <c r="J11" s="5" t="s">
        <v>118</v>
      </c>
      <c r="K11" s="5" t="s">
        <v>161</v>
      </c>
      <c r="L11" s="5"/>
      <c r="M11" s="5" t="n">
        <v>1.94</v>
      </c>
      <c r="N11" s="5" t="n">
        <v>3.67</v>
      </c>
      <c r="O11" s="5" t="n">
        <v>89.8</v>
      </c>
      <c r="P11" s="5" t="n">
        <v>-0.3</v>
      </c>
      <c r="Q11" s="5" t="n">
        <v>69</v>
      </c>
      <c r="R11" s="5" t="n">
        <v>27</v>
      </c>
      <c r="S11" s="5" t="n">
        <v>30</v>
      </c>
      <c r="T11" s="5" t="n">
        <v>24</v>
      </c>
      <c r="U11" s="5" t="n">
        <v>45.4</v>
      </c>
      <c r="V11" s="5" t="s">
        <v>119</v>
      </c>
      <c r="W11" s="5" t="s">
        <v>120</v>
      </c>
      <c r="X11" s="5" t="s">
        <v>121</v>
      </c>
      <c r="Y11" s="5"/>
    </row>
    <row r="12" customFormat="false" ht="30" hidden="false" customHeight="true" outlineLevel="0" collapsed="false">
      <c r="A12" s="4" t="s">
        <v>164</v>
      </c>
      <c r="B12" s="4" t="s">
        <v>165</v>
      </c>
      <c r="C12" s="4" t="s">
        <v>112</v>
      </c>
      <c r="D12" s="4" t="s">
        <v>166</v>
      </c>
      <c r="E12" s="4" t="s">
        <v>131</v>
      </c>
      <c r="F12" s="4" t="s">
        <v>132</v>
      </c>
      <c r="G12" s="4" t="s">
        <v>167</v>
      </c>
      <c r="H12" s="4" t="s">
        <v>168</v>
      </c>
      <c r="I12" s="4" t="s">
        <v>132</v>
      </c>
      <c r="J12" s="4" t="s">
        <v>118</v>
      </c>
      <c r="K12" s="4" t="s">
        <v>166</v>
      </c>
      <c r="L12" s="4"/>
      <c r="M12" s="4" t="n">
        <v>1.51</v>
      </c>
      <c r="N12" s="4" t="n">
        <v>1.33</v>
      </c>
      <c r="O12" s="4" t="n">
        <v>78.8</v>
      </c>
      <c r="P12" s="4" t="n">
        <v>-0.9</v>
      </c>
      <c r="Q12" s="4" t="n">
        <v>18</v>
      </c>
      <c r="R12" s="4" t="n">
        <v>58</v>
      </c>
      <c r="S12" s="4" t="n">
        <v>62</v>
      </c>
      <c r="T12" s="4" t="n">
        <v>52</v>
      </c>
      <c r="U12" s="4" t="n">
        <v>44.6</v>
      </c>
      <c r="V12" s="4" t="s">
        <v>169</v>
      </c>
      <c r="W12" s="4" t="s">
        <v>120</v>
      </c>
      <c r="X12" s="4" t="s">
        <v>121</v>
      </c>
      <c r="Y12" s="4"/>
    </row>
    <row r="13" customFormat="false" ht="30" hidden="false" customHeight="true" outlineLevel="0" collapsed="false">
      <c r="A13" s="5" t="s">
        <v>170</v>
      </c>
      <c r="B13" s="5" t="s">
        <v>171</v>
      </c>
      <c r="C13" s="5" t="s">
        <v>172</v>
      </c>
      <c r="D13" s="5" t="s">
        <v>173</v>
      </c>
      <c r="E13" s="5" t="s">
        <v>114</v>
      </c>
      <c r="F13" s="5" t="s">
        <v>174</v>
      </c>
      <c r="G13" s="5" t="s">
        <v>175</v>
      </c>
      <c r="H13" s="5" t="s">
        <v>176</v>
      </c>
      <c r="I13" s="5" t="s">
        <v>174</v>
      </c>
      <c r="J13" s="5" t="s">
        <v>141</v>
      </c>
      <c r="K13" s="5" t="s">
        <v>173</v>
      </c>
      <c r="L13" s="5"/>
      <c r="M13" s="5" t="n">
        <v>1.68</v>
      </c>
      <c r="N13" s="5" t="n">
        <v>4</v>
      </c>
      <c r="O13" s="5" t="n">
        <v>80.6</v>
      </c>
      <c r="P13" s="5" t="n">
        <v>1.4</v>
      </c>
      <c r="Q13" s="5" t="n">
        <v>72</v>
      </c>
      <c r="R13" s="5" t="n">
        <v>34</v>
      </c>
      <c r="S13" s="5" t="n">
        <v>36</v>
      </c>
      <c r="T13" s="5" t="n">
        <v>30</v>
      </c>
      <c r="U13" s="5"/>
      <c r="V13" s="5"/>
      <c r="W13" s="5"/>
      <c r="X13" s="5"/>
      <c r="Y13" s="5"/>
    </row>
    <row r="14" customFormat="false" ht="30" hidden="false" customHeight="true" outlineLevel="0" collapsed="false">
      <c r="A14" s="4" t="s">
        <v>177</v>
      </c>
      <c r="B14" s="4" t="s">
        <v>178</v>
      </c>
      <c r="C14" s="4" t="s">
        <v>112</v>
      </c>
      <c r="D14" s="4" t="s">
        <v>166</v>
      </c>
      <c r="E14" s="4" t="s">
        <v>124</v>
      </c>
      <c r="F14" s="4" t="s">
        <v>125</v>
      </c>
      <c r="G14" s="4" t="s">
        <v>179</v>
      </c>
      <c r="H14" s="4" t="s">
        <v>180</v>
      </c>
      <c r="I14" s="4" t="s">
        <v>125</v>
      </c>
      <c r="J14" s="4" t="s">
        <v>118</v>
      </c>
      <c r="K14" s="4" t="s">
        <v>166</v>
      </c>
      <c r="L14" s="4"/>
      <c r="M14" s="4" t="n">
        <v>2.24</v>
      </c>
      <c r="N14" s="4" t="n">
        <v>2.33</v>
      </c>
      <c r="O14" s="4" t="n">
        <v>81.9</v>
      </c>
      <c r="P14" s="4" t="n">
        <v>-0.9</v>
      </c>
      <c r="Q14" s="4" t="n">
        <v>27</v>
      </c>
      <c r="R14" s="4" t="n">
        <v>31</v>
      </c>
      <c r="S14" s="4" t="n">
        <v>23</v>
      </c>
      <c r="T14" s="4" t="n">
        <v>19</v>
      </c>
      <c r="U14" s="4" t="n">
        <v>32.5</v>
      </c>
      <c r="V14" s="4" t="s">
        <v>169</v>
      </c>
      <c r="W14" s="4" t="s">
        <v>120</v>
      </c>
      <c r="X14" s="4" t="s">
        <v>121</v>
      </c>
      <c r="Y14" s="4"/>
    </row>
    <row r="15" customFormat="false" ht="30" hidden="false" customHeight="true" outlineLevel="0" collapsed="false">
      <c r="A15" s="5" t="s">
        <v>181</v>
      </c>
      <c r="B15" s="5" t="s">
        <v>182</v>
      </c>
      <c r="C15" s="5" t="s">
        <v>172</v>
      </c>
      <c r="D15" s="5" t="s">
        <v>183</v>
      </c>
      <c r="E15" s="5" t="s">
        <v>114</v>
      </c>
      <c r="F15" s="5" t="s">
        <v>174</v>
      </c>
      <c r="G15" s="5" t="s">
        <v>184</v>
      </c>
      <c r="H15" s="5" t="s">
        <v>185</v>
      </c>
      <c r="I15" s="5" t="s">
        <v>174</v>
      </c>
      <c r="J15" s="5" t="s">
        <v>141</v>
      </c>
      <c r="K15" s="5" t="s">
        <v>183</v>
      </c>
      <c r="L15" s="5"/>
      <c r="M15" s="5"/>
      <c r="N15" s="5"/>
      <c r="O15" s="5" t="n">
        <v>82.7</v>
      </c>
      <c r="P15" s="5" t="n">
        <v>2.8</v>
      </c>
      <c r="Q15" s="5"/>
      <c r="R15" s="5" t="n">
        <v>34</v>
      </c>
      <c r="S15" s="5" t="n">
        <v>36</v>
      </c>
      <c r="T15" s="5" t="n">
        <v>30</v>
      </c>
      <c r="U15" s="5"/>
      <c r="V15" s="5"/>
      <c r="W15" s="5"/>
      <c r="X15" s="5"/>
      <c r="Y15" s="5"/>
    </row>
    <row r="16" customFormat="false" ht="30" hidden="false" customHeight="true" outlineLevel="0" collapsed="false">
      <c r="A16" s="4" t="s">
        <v>186</v>
      </c>
      <c r="B16" s="4" t="s">
        <v>187</v>
      </c>
      <c r="C16" s="4" t="s">
        <v>112</v>
      </c>
      <c r="D16" s="4" t="s">
        <v>188</v>
      </c>
      <c r="E16" s="4" t="s">
        <v>131</v>
      </c>
      <c r="F16" s="4" t="s">
        <v>189</v>
      </c>
      <c r="G16" s="4" t="s">
        <v>190</v>
      </c>
      <c r="H16" s="4" t="s">
        <v>191</v>
      </c>
      <c r="I16" s="4" t="s">
        <v>189</v>
      </c>
      <c r="J16" s="4" t="s">
        <v>118</v>
      </c>
      <c r="K16" s="4" t="s">
        <v>188</v>
      </c>
      <c r="L16" s="4" t="s">
        <v>192</v>
      </c>
      <c r="M16" s="4" t="n">
        <v>1.8</v>
      </c>
      <c r="N16" s="4" t="n">
        <v>2.4</v>
      </c>
      <c r="O16" s="4" t="n">
        <v>85.2</v>
      </c>
      <c r="P16" s="4" t="n">
        <v>-8.8</v>
      </c>
      <c r="Q16" s="4" t="n">
        <v>36</v>
      </c>
      <c r="R16" s="4" t="n">
        <v>82</v>
      </c>
      <c r="S16" s="4" t="n">
        <v>76</v>
      </c>
      <c r="T16" s="4" t="n">
        <v>71</v>
      </c>
      <c r="U16" s="4" t="n">
        <v>79</v>
      </c>
      <c r="V16" s="4" t="s">
        <v>193</v>
      </c>
      <c r="W16" s="4" t="s">
        <v>120</v>
      </c>
      <c r="X16" s="4" t="s">
        <v>121</v>
      </c>
      <c r="Y16" s="4"/>
    </row>
    <row r="17" customFormat="false" ht="30" hidden="false" customHeight="true" outlineLevel="0" collapsed="false">
      <c r="A17" s="5" t="s">
        <v>194</v>
      </c>
      <c r="B17" s="5" t="s">
        <v>195</v>
      </c>
      <c r="C17" s="5" t="s">
        <v>138</v>
      </c>
      <c r="D17" s="5" t="s">
        <v>138</v>
      </c>
      <c r="E17" s="5" t="s">
        <v>114</v>
      </c>
      <c r="F17" s="5" t="s">
        <v>174</v>
      </c>
      <c r="G17" s="5" t="s">
        <v>196</v>
      </c>
      <c r="H17" s="5" t="s">
        <v>197</v>
      </c>
      <c r="I17" s="5" t="s">
        <v>174</v>
      </c>
      <c r="J17" s="5" t="s">
        <v>141</v>
      </c>
      <c r="K17" s="5" t="s">
        <v>138</v>
      </c>
      <c r="L17" s="5"/>
      <c r="M17" s="5" t="n">
        <v>2.46</v>
      </c>
      <c r="N17" s="5" t="n">
        <v>3.33</v>
      </c>
      <c r="O17" s="5" t="n">
        <v>85.4</v>
      </c>
      <c r="P17" s="5" t="n">
        <v>-0.6</v>
      </c>
      <c r="Q17" s="5" t="n">
        <v>36</v>
      </c>
      <c r="R17" s="5" t="n">
        <v>34</v>
      </c>
      <c r="S17" s="5" t="n">
        <v>36</v>
      </c>
      <c r="T17" s="5" t="n">
        <v>30</v>
      </c>
      <c r="U17" s="5"/>
      <c r="V17" s="5"/>
      <c r="W17" s="5"/>
      <c r="X17" s="5"/>
      <c r="Y17" s="5"/>
    </row>
    <row r="18" customFormat="false" ht="30" hidden="false" customHeight="true" outlineLevel="0" collapsed="false">
      <c r="A18" s="4" t="s">
        <v>198</v>
      </c>
      <c r="B18" s="4" t="s">
        <v>199</v>
      </c>
      <c r="C18" s="4" t="s">
        <v>112</v>
      </c>
      <c r="D18" s="4" t="s">
        <v>200</v>
      </c>
      <c r="E18" s="4" t="s">
        <v>131</v>
      </c>
      <c r="F18" s="4" t="s">
        <v>189</v>
      </c>
      <c r="G18" s="4" t="s">
        <v>201</v>
      </c>
      <c r="H18" s="4" t="s">
        <v>197</v>
      </c>
      <c r="I18" s="4" t="s">
        <v>189</v>
      </c>
      <c r="J18" s="4" t="s">
        <v>118</v>
      </c>
      <c r="K18" s="4" t="s">
        <v>200</v>
      </c>
      <c r="L18" s="4" t="s">
        <v>202</v>
      </c>
      <c r="M18" s="4" t="n">
        <v>1.55</v>
      </c>
      <c r="N18" s="4" t="n">
        <v>3.1</v>
      </c>
      <c r="O18" s="4" t="n">
        <v>86.6</v>
      </c>
      <c r="P18" s="4" t="n">
        <v>-6.4</v>
      </c>
      <c r="Q18" s="4" t="n">
        <v>45</v>
      </c>
      <c r="R18" s="4" t="n">
        <v>82</v>
      </c>
      <c r="S18" s="4" t="n">
        <v>76</v>
      </c>
      <c r="T18" s="4" t="n">
        <v>71</v>
      </c>
      <c r="U18" s="4" t="n">
        <v>79</v>
      </c>
      <c r="V18" s="4" t="s">
        <v>193</v>
      </c>
      <c r="W18" s="4" t="s">
        <v>120</v>
      </c>
      <c r="X18" s="4" t="s">
        <v>121</v>
      </c>
      <c r="Y18" s="4"/>
    </row>
    <row r="19" customFormat="false" ht="30" hidden="false" customHeight="true" outlineLevel="0" collapsed="false">
      <c r="A19" s="5" t="s">
        <v>203</v>
      </c>
      <c r="B19" s="5" t="s">
        <v>204</v>
      </c>
      <c r="C19" s="5" t="s">
        <v>112</v>
      </c>
      <c r="D19" s="5" t="s">
        <v>205</v>
      </c>
      <c r="E19" s="5" t="s">
        <v>124</v>
      </c>
      <c r="F19" s="5" t="s">
        <v>125</v>
      </c>
      <c r="G19" s="5" t="s">
        <v>206</v>
      </c>
      <c r="H19" s="5" t="s">
        <v>207</v>
      </c>
      <c r="I19" s="5" t="s">
        <v>125</v>
      </c>
      <c r="J19" s="5" t="s">
        <v>118</v>
      </c>
      <c r="K19" s="5" t="s">
        <v>205</v>
      </c>
      <c r="L19" s="5"/>
      <c r="M19" s="5" t="n">
        <v>1.86</v>
      </c>
      <c r="N19" s="5" t="n">
        <v>2</v>
      </c>
      <c r="O19" s="5" t="n">
        <v>87.3</v>
      </c>
      <c r="P19" s="5" t="n">
        <v>1.6</v>
      </c>
      <c r="Q19" s="5" t="n">
        <v>54</v>
      </c>
      <c r="R19" s="5" t="n">
        <v>31</v>
      </c>
      <c r="S19" s="5" t="n">
        <v>23</v>
      </c>
      <c r="T19" s="5" t="n">
        <v>19</v>
      </c>
      <c r="U19" s="5" t="n">
        <v>57.2</v>
      </c>
      <c r="V19" s="5" t="s">
        <v>119</v>
      </c>
      <c r="W19" s="5" t="s">
        <v>120</v>
      </c>
      <c r="X19" s="5" t="s">
        <v>121</v>
      </c>
      <c r="Y19" s="5"/>
    </row>
    <row r="20" customFormat="false" ht="30" hidden="false" customHeight="true" outlineLevel="0" collapsed="false">
      <c r="A20" s="4" t="s">
        <v>208</v>
      </c>
      <c r="B20" s="4" t="s">
        <v>209</v>
      </c>
      <c r="C20" s="4" t="s">
        <v>112</v>
      </c>
      <c r="D20" s="4" t="s">
        <v>210</v>
      </c>
      <c r="E20" s="4" t="s">
        <v>131</v>
      </c>
      <c r="F20" s="4" t="s">
        <v>132</v>
      </c>
      <c r="G20" s="4" t="s">
        <v>211</v>
      </c>
      <c r="H20" s="4" t="s">
        <v>212</v>
      </c>
      <c r="I20" s="4" t="s">
        <v>132</v>
      </c>
      <c r="J20" s="4" t="s">
        <v>118</v>
      </c>
      <c r="K20" s="4" t="s">
        <v>210</v>
      </c>
      <c r="L20" s="4"/>
      <c r="M20" s="4" t="n">
        <v>1.37</v>
      </c>
      <c r="N20" s="4" t="n">
        <v>3</v>
      </c>
      <c r="O20" s="4" t="n">
        <v>89.5</v>
      </c>
      <c r="P20" s="4" t="n">
        <v>-0.6</v>
      </c>
      <c r="Q20" s="4" t="n">
        <v>63</v>
      </c>
      <c r="R20" s="4" t="n">
        <v>58</v>
      </c>
      <c r="S20" s="4" t="n">
        <v>62</v>
      </c>
      <c r="T20" s="4" t="n">
        <v>52</v>
      </c>
      <c r="U20" s="4" t="n">
        <v>69.4</v>
      </c>
      <c r="V20" s="4" t="s">
        <v>135</v>
      </c>
      <c r="W20" s="4" t="s">
        <v>120</v>
      </c>
      <c r="X20" s="4" t="s">
        <v>121</v>
      </c>
      <c r="Y20" s="4"/>
    </row>
    <row r="21" customFormat="false" ht="30" hidden="false" customHeight="true" outlineLevel="0" collapsed="false">
      <c r="A21" s="5" t="s">
        <v>213</v>
      </c>
      <c r="B21" s="5" t="s">
        <v>214</v>
      </c>
      <c r="C21" s="5" t="s">
        <v>112</v>
      </c>
      <c r="D21" s="5" t="s">
        <v>215</v>
      </c>
      <c r="E21" s="5" t="s">
        <v>124</v>
      </c>
      <c r="F21" s="5" t="s">
        <v>145</v>
      </c>
      <c r="G21" s="5" t="s">
        <v>216</v>
      </c>
      <c r="H21" s="5" t="s">
        <v>217</v>
      </c>
      <c r="I21" s="5" t="s">
        <v>145</v>
      </c>
      <c r="J21" s="5" t="s">
        <v>118</v>
      </c>
      <c r="K21" s="5" t="s">
        <v>215</v>
      </c>
      <c r="L21" s="5"/>
      <c r="M21" s="5" t="n">
        <v>0.62</v>
      </c>
      <c r="N21" s="5" t="n">
        <v>7.2</v>
      </c>
      <c r="O21" s="5" t="n">
        <v>76.4</v>
      </c>
      <c r="P21" s="5" t="n">
        <v>-17.6</v>
      </c>
      <c r="Q21" s="5" t="n">
        <v>72</v>
      </c>
      <c r="R21" s="5" t="n">
        <v>19</v>
      </c>
      <c r="S21" s="5" t="n">
        <v>26</v>
      </c>
      <c r="T21" s="5" t="n">
        <v>25</v>
      </c>
      <c r="U21" s="5" t="n">
        <v>83.7</v>
      </c>
      <c r="V21" s="5" t="s">
        <v>193</v>
      </c>
      <c r="W21" s="5" t="s">
        <v>120</v>
      </c>
      <c r="X21" s="5" t="s">
        <v>121</v>
      </c>
      <c r="Y21" s="5"/>
    </row>
    <row r="22" customFormat="false" ht="30" hidden="false" customHeight="true" outlineLevel="0" collapsed="false">
      <c r="A22" s="4" t="s">
        <v>218</v>
      </c>
      <c r="B22" s="4" t="s">
        <v>219</v>
      </c>
      <c r="C22" s="4" t="s">
        <v>112</v>
      </c>
      <c r="D22" s="4" t="s">
        <v>220</v>
      </c>
      <c r="E22" s="4" t="s">
        <v>155</v>
      </c>
      <c r="F22" s="4" t="s">
        <v>156</v>
      </c>
      <c r="G22" s="4" t="s">
        <v>221</v>
      </c>
      <c r="H22" s="4" t="s">
        <v>222</v>
      </c>
      <c r="I22" s="4" t="s">
        <v>156</v>
      </c>
      <c r="J22" s="4" t="s">
        <v>118</v>
      </c>
      <c r="K22" s="4" t="s">
        <v>220</v>
      </c>
      <c r="L22" s="4"/>
      <c r="M22" s="4" t="n">
        <v>1.54</v>
      </c>
      <c r="N22" s="4" t="n">
        <v>1.67</v>
      </c>
      <c r="O22" s="4" t="n">
        <v>79.3</v>
      </c>
      <c r="P22" s="4" t="n">
        <v>-3.5</v>
      </c>
      <c r="Q22" s="4" t="n">
        <v>21</v>
      </c>
      <c r="R22" s="4" t="n">
        <v>67</v>
      </c>
      <c r="S22" s="4" t="n">
        <v>59</v>
      </c>
      <c r="T22" s="4" t="n">
        <v>54</v>
      </c>
      <c r="U22" s="4" t="n">
        <v>61.7</v>
      </c>
      <c r="V22" s="4" t="s">
        <v>135</v>
      </c>
      <c r="W22" s="4" t="s">
        <v>120</v>
      </c>
      <c r="X22" s="4" t="s">
        <v>121</v>
      </c>
      <c r="Y22" s="4"/>
    </row>
    <row r="23" customFormat="false" ht="30" hidden="false" customHeight="true" outlineLevel="0" collapsed="false">
      <c r="A23" s="5" t="s">
        <v>223</v>
      </c>
      <c r="B23" s="5" t="s">
        <v>224</v>
      </c>
      <c r="C23" s="5" t="s">
        <v>112</v>
      </c>
      <c r="D23" s="5" t="s">
        <v>225</v>
      </c>
      <c r="E23" s="5" t="s">
        <v>131</v>
      </c>
      <c r="F23" s="5" t="s">
        <v>189</v>
      </c>
      <c r="G23" s="5" t="s">
        <v>226</v>
      </c>
      <c r="H23" s="5" t="s">
        <v>227</v>
      </c>
      <c r="I23" s="5" t="s">
        <v>189</v>
      </c>
      <c r="J23" s="5" t="s">
        <v>118</v>
      </c>
      <c r="K23" s="5" t="s">
        <v>225</v>
      </c>
      <c r="L23" s="5"/>
      <c r="M23" s="5" t="n">
        <v>2.29</v>
      </c>
      <c r="N23" s="5" t="n">
        <v>2.67</v>
      </c>
      <c r="O23" s="5" t="n">
        <v>82.2</v>
      </c>
      <c r="P23" s="5" t="n">
        <v>0.7</v>
      </c>
      <c r="Q23" s="5" t="n">
        <v>30</v>
      </c>
      <c r="R23" s="5" t="n">
        <v>82</v>
      </c>
      <c r="S23" s="5" t="n">
        <v>76</v>
      </c>
      <c r="T23" s="5" t="n">
        <v>71</v>
      </c>
      <c r="U23" s="5" t="n">
        <v>68.8</v>
      </c>
      <c r="V23" s="5" t="s">
        <v>135</v>
      </c>
      <c r="W23" s="5" t="s">
        <v>120</v>
      </c>
      <c r="X23" s="5" t="s">
        <v>121</v>
      </c>
      <c r="Y23" s="5"/>
    </row>
    <row r="24" customFormat="false" ht="30" hidden="false" customHeight="true" outlineLevel="0" collapsed="false">
      <c r="A24" s="4" t="s">
        <v>228</v>
      </c>
      <c r="B24" s="4" t="s">
        <v>229</v>
      </c>
      <c r="C24" s="4" t="s">
        <v>112</v>
      </c>
      <c r="D24" s="4" t="s">
        <v>230</v>
      </c>
      <c r="E24" s="4" t="s">
        <v>155</v>
      </c>
      <c r="F24" s="4" t="s">
        <v>156</v>
      </c>
      <c r="G24" s="4" t="s">
        <v>231</v>
      </c>
      <c r="H24" s="4" t="s">
        <v>232</v>
      </c>
      <c r="I24" s="4" t="s">
        <v>156</v>
      </c>
      <c r="J24" s="4" t="s">
        <v>118</v>
      </c>
      <c r="K24" s="4" t="s">
        <v>230</v>
      </c>
      <c r="L24" s="4"/>
      <c r="M24" s="4" t="n">
        <v>1.79</v>
      </c>
      <c r="N24" s="4" t="n">
        <v>3.67</v>
      </c>
      <c r="O24" s="4" t="n">
        <v>85.6</v>
      </c>
      <c r="P24" s="4" t="n">
        <v>0.8</v>
      </c>
      <c r="Q24" s="4" t="n">
        <v>39</v>
      </c>
      <c r="R24" s="4" t="n">
        <v>67</v>
      </c>
      <c r="S24" s="4" t="n">
        <v>59</v>
      </c>
      <c r="T24" s="4" t="n">
        <v>54</v>
      </c>
      <c r="U24" s="4" t="n">
        <v>57.3</v>
      </c>
      <c r="V24" s="4" t="s">
        <v>119</v>
      </c>
      <c r="W24" s="4" t="s">
        <v>120</v>
      </c>
      <c r="X24" s="4" t="s">
        <v>121</v>
      </c>
      <c r="Y24" s="4"/>
    </row>
    <row r="25" customFormat="false" ht="30" hidden="false" customHeight="true" outlineLevel="0" collapsed="false">
      <c r="A25" s="5" t="s">
        <v>233</v>
      </c>
      <c r="B25" s="5" t="s">
        <v>234</v>
      </c>
      <c r="C25" s="5" t="s">
        <v>112</v>
      </c>
      <c r="D25" s="5" t="s">
        <v>235</v>
      </c>
      <c r="E25" s="5" t="s">
        <v>114</v>
      </c>
      <c r="F25" s="5" t="s">
        <v>115</v>
      </c>
      <c r="G25" s="5" t="s">
        <v>236</v>
      </c>
      <c r="H25" s="5" t="s">
        <v>237</v>
      </c>
      <c r="I25" s="5" t="s">
        <v>115</v>
      </c>
      <c r="J25" s="5" t="s">
        <v>118</v>
      </c>
      <c r="K25" s="5" t="s">
        <v>235</v>
      </c>
      <c r="L25" s="5"/>
      <c r="M25" s="5" t="n">
        <v>2.43</v>
      </c>
      <c r="N25" s="5" t="n">
        <v>1.33</v>
      </c>
      <c r="O25" s="5" t="n">
        <v>84.6</v>
      </c>
      <c r="P25" s="5" t="n">
        <v>-2.1</v>
      </c>
      <c r="Q25" s="5" t="n">
        <v>48</v>
      </c>
      <c r="R25" s="5" t="n">
        <v>27</v>
      </c>
      <c r="S25" s="5" t="n">
        <v>30</v>
      </c>
      <c r="T25" s="5" t="n">
        <v>24</v>
      </c>
      <c r="U25" s="5" t="n">
        <v>39.3</v>
      </c>
      <c r="V25" s="5" t="s">
        <v>169</v>
      </c>
      <c r="W25" s="5" t="s">
        <v>120</v>
      </c>
      <c r="X25" s="5" t="s">
        <v>121</v>
      </c>
      <c r="Y25" s="5"/>
    </row>
    <row r="26" customFormat="false" ht="30" hidden="false" customHeight="true" outlineLevel="0" collapsed="false">
      <c r="A26" s="4" t="s">
        <v>238</v>
      </c>
      <c r="B26" s="4" t="s">
        <v>239</v>
      </c>
      <c r="C26" s="4" t="s">
        <v>112</v>
      </c>
      <c r="D26" s="4" t="s">
        <v>240</v>
      </c>
      <c r="E26" s="4" t="s">
        <v>131</v>
      </c>
      <c r="F26" s="4" t="s">
        <v>132</v>
      </c>
      <c r="G26" s="4" t="s">
        <v>241</v>
      </c>
      <c r="H26" s="4" t="s">
        <v>242</v>
      </c>
      <c r="I26" s="4" t="s">
        <v>132</v>
      </c>
      <c r="J26" s="4" t="s">
        <v>118</v>
      </c>
      <c r="K26" s="4" t="s">
        <v>240</v>
      </c>
      <c r="L26" s="4"/>
      <c r="M26" s="4" t="n">
        <v>2.04</v>
      </c>
      <c r="N26" s="4" t="n">
        <v>2.33</v>
      </c>
      <c r="O26" s="4" t="n">
        <v>89.3</v>
      </c>
      <c r="P26" s="4" t="n">
        <v>0.3</v>
      </c>
      <c r="Q26" s="4" t="n">
        <v>57</v>
      </c>
      <c r="R26" s="4" t="n">
        <v>58</v>
      </c>
      <c r="S26" s="4" t="n">
        <v>62</v>
      </c>
      <c r="T26" s="4" t="n">
        <v>52</v>
      </c>
      <c r="U26" s="4" t="n">
        <v>60.9</v>
      </c>
      <c r="V26" s="4" t="s">
        <v>135</v>
      </c>
      <c r="W26" s="4" t="s">
        <v>120</v>
      </c>
      <c r="X26" s="4" t="s">
        <v>121</v>
      </c>
      <c r="Y26" s="4"/>
    </row>
    <row r="27" customFormat="false" ht="30" hidden="false" customHeight="true" outlineLevel="0" collapsed="false">
      <c r="A27" s="5" t="s">
        <v>243</v>
      </c>
      <c r="B27" s="5" t="s">
        <v>244</v>
      </c>
      <c r="C27" s="5" t="s">
        <v>112</v>
      </c>
      <c r="D27" s="5" t="s">
        <v>245</v>
      </c>
      <c r="E27" s="5" t="s">
        <v>155</v>
      </c>
      <c r="F27" s="5" t="s">
        <v>246</v>
      </c>
      <c r="G27" s="5" t="s">
        <v>247</v>
      </c>
      <c r="H27" s="5" t="s">
        <v>248</v>
      </c>
      <c r="I27" s="5" t="s">
        <v>246</v>
      </c>
      <c r="J27" s="5" t="s">
        <v>118</v>
      </c>
      <c r="K27" s="5" t="s">
        <v>245</v>
      </c>
      <c r="L27" s="5"/>
      <c r="M27" s="5"/>
      <c r="N27" s="5"/>
      <c r="O27" s="5" t="n">
        <v>91.7</v>
      </c>
      <c r="P27" s="5" t="n">
        <v>-0.3</v>
      </c>
      <c r="Q27" s="5"/>
      <c r="R27" s="5" t="n">
        <v>39</v>
      </c>
      <c r="S27" s="5" t="n">
        <v>47</v>
      </c>
      <c r="T27" s="5" t="n">
        <v>41</v>
      </c>
      <c r="U27" s="5"/>
      <c r="V27" s="5"/>
      <c r="W27" s="5"/>
      <c r="X27" s="5"/>
      <c r="Y27" s="5"/>
    </row>
    <row r="28" customFormat="false" ht="138.75" hidden="false" customHeight="true" outlineLevel="0" collapsed="false">
      <c r="A28" s="4" t="s">
        <v>249</v>
      </c>
      <c r="B28" s="4" t="s">
        <v>250</v>
      </c>
      <c r="C28" s="4" t="s">
        <v>112</v>
      </c>
      <c r="D28" s="4" t="s">
        <v>251</v>
      </c>
      <c r="E28" s="4" t="s">
        <v>131</v>
      </c>
      <c r="F28" s="4" t="s">
        <v>189</v>
      </c>
      <c r="G28" s="4" t="s">
        <v>252</v>
      </c>
      <c r="H28" s="4" t="s">
        <v>253</v>
      </c>
      <c r="I28" s="4" t="s">
        <v>189</v>
      </c>
      <c r="J28" s="4" t="s">
        <v>118</v>
      </c>
      <c r="K28" s="4" t="s">
        <v>251</v>
      </c>
      <c r="L28" s="4"/>
      <c r="M28" s="4"/>
      <c r="N28" s="4"/>
      <c r="O28" s="4" t="n">
        <v>80.5</v>
      </c>
      <c r="P28" s="4" t="n">
        <v>-2.2</v>
      </c>
      <c r="Q28" s="4"/>
      <c r="R28" s="4" t="n">
        <v>82</v>
      </c>
      <c r="S28" s="4" t="n">
        <v>76</v>
      </c>
      <c r="T28" s="4" t="n">
        <v>71</v>
      </c>
      <c r="U28" s="4" t="n">
        <v>74.4</v>
      </c>
      <c r="V28" s="4" t="s">
        <v>135</v>
      </c>
      <c r="W28" s="4" t="s">
        <v>254</v>
      </c>
      <c r="X28" s="4" t="s">
        <v>121</v>
      </c>
      <c r="Y28" s="4" t="s">
        <v>255</v>
      </c>
    </row>
    <row r="29" customFormat="false" ht="153.75" hidden="false" customHeight="true" outlineLevel="0" collapsed="false">
      <c r="A29" s="5" t="s">
        <v>256</v>
      </c>
      <c r="B29" s="5" t="s">
        <v>257</v>
      </c>
      <c r="C29" s="5" t="s">
        <v>112</v>
      </c>
      <c r="D29" s="5" t="s">
        <v>258</v>
      </c>
      <c r="E29" s="5" t="s">
        <v>131</v>
      </c>
      <c r="F29" s="5" t="s">
        <v>189</v>
      </c>
      <c r="G29" s="5" t="s">
        <v>259</v>
      </c>
      <c r="H29" s="5" t="s">
        <v>260</v>
      </c>
      <c r="I29" s="5" t="s">
        <v>189</v>
      </c>
      <c r="J29" s="5" t="s">
        <v>118</v>
      </c>
      <c r="K29" s="5" t="s">
        <v>258</v>
      </c>
      <c r="L29" s="5"/>
      <c r="M29" s="5"/>
      <c r="N29" s="5"/>
      <c r="O29" s="5" t="n">
        <v>81.9</v>
      </c>
      <c r="P29" s="5" t="n">
        <v>-0.9</v>
      </c>
      <c r="Q29" s="5"/>
      <c r="R29" s="5" t="n">
        <v>82</v>
      </c>
      <c r="S29" s="5" t="n">
        <v>76</v>
      </c>
      <c r="T29" s="5" t="n">
        <v>71</v>
      </c>
      <c r="U29" s="5" t="n">
        <v>73.4</v>
      </c>
      <c r="V29" s="5" t="s">
        <v>135</v>
      </c>
      <c r="W29" s="5" t="s">
        <v>254</v>
      </c>
      <c r="X29" s="5" t="s">
        <v>261</v>
      </c>
      <c r="Y29" s="5" t="s">
        <v>262</v>
      </c>
    </row>
    <row r="30" customFormat="false" ht="123.75" hidden="false" customHeight="true" outlineLevel="0" collapsed="false">
      <c r="A30" s="4" t="s">
        <v>263</v>
      </c>
      <c r="B30" s="4" t="s">
        <v>264</v>
      </c>
      <c r="C30" s="4" t="s">
        <v>112</v>
      </c>
      <c r="D30" s="4" t="s">
        <v>265</v>
      </c>
      <c r="E30" s="4" t="s">
        <v>155</v>
      </c>
      <c r="F30" s="4" t="s">
        <v>156</v>
      </c>
      <c r="G30" s="4" t="s">
        <v>266</v>
      </c>
      <c r="H30" s="4" t="s">
        <v>267</v>
      </c>
      <c r="I30" s="4" t="s">
        <v>156</v>
      </c>
      <c r="J30" s="4" t="s">
        <v>118</v>
      </c>
      <c r="K30" s="4" t="s">
        <v>265</v>
      </c>
      <c r="L30" s="4"/>
      <c r="M30" s="4"/>
      <c r="N30" s="4"/>
      <c r="O30" s="4" t="n">
        <v>87.4</v>
      </c>
      <c r="P30" s="4" t="n">
        <v>1.8</v>
      </c>
      <c r="Q30" s="4"/>
      <c r="R30" s="4" t="n">
        <v>67</v>
      </c>
      <c r="S30" s="4" t="n">
        <v>59</v>
      </c>
      <c r="T30" s="4" t="n">
        <v>54</v>
      </c>
      <c r="U30" s="4" t="n">
        <v>64.9</v>
      </c>
      <c r="V30" s="4" t="s">
        <v>135</v>
      </c>
      <c r="W30" s="4" t="s">
        <v>254</v>
      </c>
      <c r="X30" s="4" t="s">
        <v>121</v>
      </c>
      <c r="Y30" s="4" t="s">
        <v>268</v>
      </c>
    </row>
    <row r="31" customFormat="false" ht="123.75" hidden="false" customHeight="true" outlineLevel="0" collapsed="false">
      <c r="A31" s="5" t="s">
        <v>269</v>
      </c>
      <c r="B31" s="5" t="s">
        <v>270</v>
      </c>
      <c r="C31" s="5" t="s">
        <v>112</v>
      </c>
      <c r="D31" s="5" t="s">
        <v>271</v>
      </c>
      <c r="E31" s="5" t="s">
        <v>131</v>
      </c>
      <c r="F31" s="5" t="s">
        <v>132</v>
      </c>
      <c r="G31" s="5" t="s">
        <v>272</v>
      </c>
      <c r="H31" s="5" t="s">
        <v>273</v>
      </c>
      <c r="I31" s="5" t="s">
        <v>132</v>
      </c>
      <c r="J31" s="5" t="s">
        <v>118</v>
      </c>
      <c r="K31" s="5" t="s">
        <v>271</v>
      </c>
      <c r="L31" s="5"/>
      <c r="M31" s="5"/>
      <c r="N31" s="5"/>
      <c r="O31" s="5" t="n">
        <v>87.3</v>
      </c>
      <c r="P31" s="5" t="n">
        <v>1.8</v>
      </c>
      <c r="Q31" s="5"/>
      <c r="R31" s="5" t="n">
        <v>58</v>
      </c>
      <c r="S31" s="5" t="n">
        <v>62</v>
      </c>
      <c r="T31" s="5" t="n">
        <v>52</v>
      </c>
      <c r="U31" s="5" t="n">
        <v>64.4</v>
      </c>
      <c r="V31" s="5" t="s">
        <v>135</v>
      </c>
      <c r="W31" s="5" t="s">
        <v>254</v>
      </c>
      <c r="X31" s="5" t="s">
        <v>121</v>
      </c>
      <c r="Y31" s="5" t="s">
        <v>268</v>
      </c>
    </row>
    <row r="32" customFormat="false" ht="123.75" hidden="false" customHeight="true" outlineLevel="0" collapsed="false">
      <c r="A32" s="4" t="s">
        <v>274</v>
      </c>
      <c r="B32" s="4" t="s">
        <v>275</v>
      </c>
      <c r="C32" s="4" t="s">
        <v>112</v>
      </c>
      <c r="D32" s="4" t="s">
        <v>276</v>
      </c>
      <c r="E32" s="4" t="s">
        <v>155</v>
      </c>
      <c r="F32" s="4" t="s">
        <v>246</v>
      </c>
      <c r="G32" s="4" t="s">
        <v>277</v>
      </c>
      <c r="H32" s="4" t="s">
        <v>278</v>
      </c>
      <c r="I32" s="4" t="s">
        <v>246</v>
      </c>
      <c r="J32" s="4" t="s">
        <v>118</v>
      </c>
      <c r="K32" s="4" t="s">
        <v>276</v>
      </c>
      <c r="L32" s="4"/>
      <c r="M32" s="4"/>
      <c r="N32" s="4"/>
      <c r="O32" s="4" t="n">
        <v>90.1</v>
      </c>
      <c r="P32" s="4" t="n">
        <v>-1.2</v>
      </c>
      <c r="Q32" s="4"/>
      <c r="R32" s="4" t="n">
        <v>39</v>
      </c>
      <c r="S32" s="4" t="n">
        <v>47</v>
      </c>
      <c r="T32" s="4" t="n">
        <v>41</v>
      </c>
      <c r="U32" s="4" t="n">
        <v>63.5</v>
      </c>
      <c r="V32" s="4" t="s">
        <v>135</v>
      </c>
      <c r="W32" s="4" t="s">
        <v>254</v>
      </c>
      <c r="X32" s="4" t="s">
        <v>121</v>
      </c>
      <c r="Y32" s="4" t="s">
        <v>279</v>
      </c>
    </row>
    <row r="33" customFormat="false" ht="123.75" hidden="false" customHeight="true" outlineLevel="0" collapsed="false">
      <c r="A33" s="5" t="s">
        <v>280</v>
      </c>
      <c r="B33" s="5" t="s">
        <v>281</v>
      </c>
      <c r="C33" s="5" t="s">
        <v>112</v>
      </c>
      <c r="D33" s="5" t="s">
        <v>282</v>
      </c>
      <c r="E33" s="5" t="s">
        <v>124</v>
      </c>
      <c r="F33" s="5" t="s">
        <v>145</v>
      </c>
      <c r="G33" s="5" t="s">
        <v>283</v>
      </c>
      <c r="H33" s="5" t="s">
        <v>284</v>
      </c>
      <c r="I33" s="5" t="s">
        <v>145</v>
      </c>
      <c r="J33" s="5" t="s">
        <v>118</v>
      </c>
      <c r="K33" s="5" t="s">
        <v>282</v>
      </c>
      <c r="L33" s="5"/>
      <c r="M33" s="5"/>
      <c r="N33" s="5"/>
      <c r="O33" s="5" t="n">
        <v>90.9</v>
      </c>
      <c r="P33" s="5" t="n">
        <v>-0.9</v>
      </c>
      <c r="Q33" s="5"/>
      <c r="R33" s="5" t="n">
        <v>19</v>
      </c>
      <c r="S33" s="5" t="n">
        <v>26</v>
      </c>
      <c r="T33" s="5" t="n">
        <v>25</v>
      </c>
      <c r="U33" s="5" t="n">
        <v>51.6</v>
      </c>
      <c r="V33" s="5" t="s">
        <v>119</v>
      </c>
      <c r="W33" s="5" t="s">
        <v>254</v>
      </c>
      <c r="X33" s="5" t="s">
        <v>121</v>
      </c>
      <c r="Y33" s="5" t="s">
        <v>285</v>
      </c>
    </row>
  </sheetData>
  <autoFilter ref="A3:Y33"/>
  <mergeCells count="2">
    <mergeCell ref="A1:Y1"/>
    <mergeCell ref="A2:Y2"/>
  </mergeCells>
  <conditionalFormatting sqref="A4:A33">
    <cfRule type="colorScale" priority="2">
      <colorScale>
        <cfvo type="min" val="0"/>
        <cfvo type="percentile" val="50"/>
        <cfvo type="max" val="0"/>
        <color rgb="FF63BE7B"/>
        <color rgb="FFFFEB84"/>
        <color rgb="FFF8696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2" topLeftCell="C23" activePane="bottomRight" state="frozen"/>
      <selection pane="topLeft" activeCell="A1" activeCellId="0" sqref="A1"/>
      <selection pane="topRight" activeCell="C1" activeCellId="0" sqref="C1"/>
      <selection pane="bottomLeft" activeCell="A23" activeCellId="0" sqref="A23"/>
      <selection pane="bottomRigh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4" min="3" style="0" width="11"/>
    <col collapsed="false" customWidth="true" hidden="false" outlineLevel="0" max="6" min="5" style="0" width="12"/>
    <col collapsed="false" customWidth="true" hidden="false" outlineLevel="0" max="9" min="7" style="0" width="11"/>
    <col collapsed="false" customWidth="true" hidden="false" outlineLevel="0" max="14" min="10" style="0" width="12"/>
    <col collapsed="false" customWidth="true" hidden="false" outlineLevel="0" max="15" min="15" style="0" width="10"/>
    <col collapsed="false" customWidth="true" hidden="false" outlineLevel="0" max="16" min="16" style="0" width="26"/>
    <col collapsed="false" customWidth="true" hidden="false" outlineLevel="0" max="18" min="17" style="0" width="13"/>
    <col collapsed="false" customWidth="true" hidden="false" outlineLevel="0" max="19" min="19" style="0" width="12"/>
    <col collapsed="false" customWidth="true" hidden="false" outlineLevel="0" max="20" min="20" style="0" width="13"/>
    <col collapsed="false" customWidth="true" hidden="false" outlineLevel="0" max="22" min="21" style="0" width="9"/>
  </cols>
  <sheetData>
    <row r="1" customFormat="false" ht="27.75" hidden="false" customHeight="true" outlineLevel="0" collapsed="false">
      <c r="A1" s="1" t="s">
        <v>286</v>
      </c>
      <c r="B1" s="1"/>
      <c r="C1" s="1"/>
      <c r="D1" s="1"/>
      <c r="E1" s="1"/>
      <c r="F1" s="1"/>
      <c r="G1" s="1"/>
      <c r="H1" s="1"/>
      <c r="I1" s="1"/>
      <c r="J1" s="1"/>
      <c r="K1" s="1"/>
      <c r="L1" s="1"/>
      <c r="M1" s="1"/>
      <c r="N1" s="1"/>
      <c r="O1" s="1"/>
      <c r="P1" s="1"/>
      <c r="Q1" s="1"/>
      <c r="R1" s="1"/>
      <c r="S1" s="1"/>
      <c r="T1" s="1"/>
      <c r="U1" s="1"/>
      <c r="V1" s="1"/>
    </row>
    <row r="2" customFormat="false" ht="61.5" hidden="false" customHeight="true" outlineLevel="0" collapsed="false">
      <c r="A2" s="2" t="s">
        <v>287</v>
      </c>
      <c r="B2" s="2"/>
      <c r="C2" s="2"/>
      <c r="D2" s="2"/>
      <c r="E2" s="2"/>
      <c r="F2" s="2"/>
      <c r="G2" s="2"/>
      <c r="H2" s="2"/>
      <c r="I2" s="2"/>
      <c r="J2" s="2"/>
      <c r="K2" s="2"/>
      <c r="L2" s="2"/>
      <c r="M2" s="2"/>
      <c r="N2" s="2"/>
      <c r="O2" s="2"/>
      <c r="P2" s="2"/>
      <c r="Q2" s="2"/>
      <c r="R2" s="2"/>
      <c r="S2" s="2"/>
      <c r="T2" s="2"/>
      <c r="U2" s="2"/>
      <c r="V2" s="2"/>
    </row>
    <row r="4" customFormat="false" ht="43.5" hidden="false" customHeight="true" outlineLevel="0" collapsed="false">
      <c r="A4" s="3" t="s">
        <v>288</v>
      </c>
      <c r="B4" s="3" t="s">
        <v>289</v>
      </c>
      <c r="C4" s="3" t="s">
        <v>290</v>
      </c>
    </row>
    <row r="5" customFormat="false" ht="68.65" hidden="false" customHeight="false" outlineLevel="0" collapsed="false">
      <c r="A5" s="7" t="s">
        <v>291</v>
      </c>
      <c r="B5" s="9" t="n">
        <v>0.3</v>
      </c>
      <c r="C5" s="7" t="s">
        <v>292</v>
      </c>
    </row>
    <row r="6" customFormat="false" ht="68.65" hidden="false" customHeight="false" outlineLevel="0" collapsed="false">
      <c r="A6" s="6" t="s">
        <v>293</v>
      </c>
      <c r="B6" s="10" t="n">
        <v>0.25</v>
      </c>
      <c r="C6" s="6" t="s">
        <v>294</v>
      </c>
    </row>
    <row r="7" customFormat="false" ht="122.35" hidden="false" customHeight="false" outlineLevel="0" collapsed="false">
      <c r="A7" s="7" t="s">
        <v>295</v>
      </c>
      <c r="B7" s="9" t="n">
        <v>0.3</v>
      </c>
      <c r="C7" s="7" t="s">
        <v>296</v>
      </c>
    </row>
    <row r="8" customFormat="false" ht="41.75" hidden="false" customHeight="false" outlineLevel="0" collapsed="false">
      <c r="A8" s="6" t="s">
        <v>297</v>
      </c>
      <c r="B8" s="10" t="n">
        <v>0.15</v>
      </c>
      <c r="C8" s="6" t="s">
        <v>298</v>
      </c>
    </row>
    <row r="9" customFormat="false" ht="15" hidden="false" customHeight="false" outlineLevel="0" collapsed="false">
      <c r="A9" s="7" t="s">
        <v>299</v>
      </c>
      <c r="B9" s="11" t="n">
        <f aca="false">SUM(B5:B8)</f>
        <v>1</v>
      </c>
      <c r="C9" s="7" t="s">
        <v>300</v>
      </c>
    </row>
    <row r="10" customFormat="false" ht="55.2" hidden="false" customHeight="false" outlineLevel="0" collapsed="false">
      <c r="A10" s="6" t="s">
        <v>301</v>
      </c>
      <c r="B10" s="12" t="n">
        <v>2.5</v>
      </c>
      <c r="C10" s="6" t="s">
        <v>302</v>
      </c>
    </row>
    <row r="11" customFormat="false" ht="55.2" hidden="false" customHeight="false" outlineLevel="0" collapsed="false">
      <c r="A11" s="7" t="s">
        <v>303</v>
      </c>
      <c r="B11" s="13" t="n">
        <v>0.8</v>
      </c>
      <c r="C11" s="7" t="s">
        <v>304</v>
      </c>
    </row>
    <row r="12" customFormat="false" ht="15" hidden="false" customHeight="false" outlineLevel="0" collapsed="false">
      <c r="A12" s="6" t="s">
        <v>305</v>
      </c>
      <c r="B12" s="12" t="n">
        <v>1</v>
      </c>
      <c r="C12" s="6" t="s">
        <v>306</v>
      </c>
    </row>
    <row r="13" customFormat="false" ht="15" hidden="false" customHeight="false" outlineLevel="0" collapsed="false">
      <c r="A13" s="7" t="s">
        <v>307</v>
      </c>
      <c r="B13" s="13" t="n">
        <v>7</v>
      </c>
      <c r="C13" s="7" t="s">
        <v>306</v>
      </c>
    </row>
    <row r="14" customFormat="false" ht="15" hidden="false" customHeight="false" outlineLevel="0" collapsed="false">
      <c r="A14" s="6" t="s">
        <v>308</v>
      </c>
      <c r="B14" s="12" t="n">
        <v>92</v>
      </c>
      <c r="C14" s="6" t="s">
        <v>306</v>
      </c>
    </row>
    <row r="15" customFormat="false" ht="15" hidden="false" customHeight="false" outlineLevel="0" collapsed="false">
      <c r="A15" s="7" t="s">
        <v>309</v>
      </c>
      <c r="B15" s="13" t="n">
        <v>76</v>
      </c>
      <c r="C15" s="7" t="s">
        <v>306</v>
      </c>
    </row>
    <row r="16" customFormat="false" ht="28.35" hidden="false" customHeight="false" outlineLevel="0" collapsed="false">
      <c r="A16" s="6" t="s">
        <v>310</v>
      </c>
      <c r="B16" s="12" t="n">
        <v>3</v>
      </c>
      <c r="C16" s="6" t="s">
        <v>306</v>
      </c>
    </row>
    <row r="17" customFormat="false" ht="28.35" hidden="false" customHeight="false" outlineLevel="0" collapsed="false">
      <c r="A17" s="7" t="s">
        <v>311</v>
      </c>
      <c r="B17" s="13" t="n">
        <v>-18</v>
      </c>
      <c r="C17" s="7" t="s">
        <v>306</v>
      </c>
    </row>
    <row r="18" customFormat="false" ht="122.35" hidden="false" customHeight="false" outlineLevel="0" collapsed="false">
      <c r="A18" s="6" t="s">
        <v>312</v>
      </c>
      <c r="B18" s="12" t="n">
        <v>60</v>
      </c>
      <c r="C18" s="6" t="s">
        <v>313</v>
      </c>
    </row>
    <row r="20" customFormat="false" ht="15" hidden="false" customHeight="false" outlineLevel="0" collapsed="false">
      <c r="A20" s="14" t="s">
        <v>314</v>
      </c>
    </row>
    <row r="22" customFormat="false" ht="43.5" hidden="false" customHeight="true" outlineLevel="0" collapsed="false">
      <c r="A22" s="3" t="s">
        <v>85</v>
      </c>
      <c r="B22" s="3" t="s">
        <v>86</v>
      </c>
      <c r="C22" s="3" t="s">
        <v>97</v>
      </c>
      <c r="D22" s="3" t="s">
        <v>98</v>
      </c>
      <c r="E22" s="3" t="s">
        <v>315</v>
      </c>
      <c r="F22" s="3" t="s">
        <v>316</v>
      </c>
      <c r="G22" s="3" t="s">
        <v>101</v>
      </c>
      <c r="H22" s="3" t="s">
        <v>102</v>
      </c>
      <c r="I22" s="3" t="s">
        <v>103</v>
      </c>
      <c r="J22" s="3" t="s">
        <v>104</v>
      </c>
      <c r="K22" s="3" t="s">
        <v>317</v>
      </c>
      <c r="L22" s="3" t="s">
        <v>318</v>
      </c>
      <c r="M22" s="3" t="s">
        <v>319</v>
      </c>
      <c r="N22" s="3" t="s">
        <v>320</v>
      </c>
      <c r="O22" s="3" t="s">
        <v>321</v>
      </c>
      <c r="P22" s="3" t="s">
        <v>322</v>
      </c>
      <c r="Q22" s="3" t="s">
        <v>323</v>
      </c>
      <c r="R22" s="3" t="s">
        <v>324</v>
      </c>
      <c r="S22" s="3" t="s">
        <v>325</v>
      </c>
      <c r="T22" s="3" t="s">
        <v>326</v>
      </c>
      <c r="U22" s="3" t="s">
        <v>327</v>
      </c>
      <c r="V22" s="3" t="s">
        <v>328</v>
      </c>
    </row>
    <row r="23" customFormat="false" ht="18" hidden="false" customHeight="true" outlineLevel="0" collapsed="false">
      <c r="A23" s="7" t="s">
        <v>110</v>
      </c>
      <c r="B23" s="7" t="s">
        <v>111</v>
      </c>
      <c r="C23" s="15" t="n">
        <f aca="false">IF(INDEX('Supplier Universe &amp; Risk'!$M$4:$M$33,MATCH($A23,'Supplier Universe &amp; Risk'!$A$4:$A$33,0))="","",INDEX('Supplier Universe &amp; Risk'!$M$4:$M$33,MATCH($A23,'Supplier Universe &amp; Risk'!$A$4:$A$33,0)))</f>
        <v>2.13</v>
      </c>
      <c r="D23" s="15" t="n">
        <f aca="false">IF(INDEX('Supplier Universe &amp; Risk'!$N$4:$N$33,MATCH($A23,'Supplier Universe &amp; Risk'!$A$4:$A$33,0))="","",INDEX('Supplier Universe &amp; Risk'!$N$4:$N$33,MATCH($A23,'Supplier Universe &amp; Risk'!$A$4:$A$33,0)))</f>
        <v>2</v>
      </c>
      <c r="E23" s="16" t="n">
        <f aca="false">IF(INDEX('Supplier Universe &amp; Risk'!$O$4:$O$33,MATCH($A23,'Supplier Universe &amp; Risk'!$A$4:$A$33,0))="","",INDEX('Supplier Universe &amp; Risk'!$O$4:$O$33,MATCH($A23,'Supplier Universe &amp; Risk'!$A$4:$A$33,0)))</f>
        <v>80.9</v>
      </c>
      <c r="F23" s="16" t="n">
        <f aca="false">IF(INDEX('Supplier Universe &amp; Risk'!$P$4:$P$33,MATCH($A23,'Supplier Universe &amp; Risk'!$A$4:$A$33,0))="","",INDEX('Supplier Universe &amp; Risk'!$P$4:$P$33,MATCH($A23,'Supplier Universe &amp; Risk'!$A$4:$A$33,0)))</f>
        <v>2.3</v>
      </c>
      <c r="G23" s="17" t="n">
        <f aca="false">IF(INDEX('Supplier Universe &amp; Risk'!$Q$4:$Q$33,MATCH($A23,'Supplier Universe &amp; Risk'!$A$4:$A$33,0))="","",INDEX('Supplier Universe &amp; Risk'!$Q$4:$Q$33,MATCH($A23,'Supplier Universe &amp; Risk'!$A$4:$A$33,0)))</f>
        <v>24</v>
      </c>
      <c r="H23" s="17" t="n">
        <f aca="false">IF(INDEX('Supplier Universe &amp; Risk'!$R$4:$R$33,MATCH($A23,'Supplier Universe &amp; Risk'!$A$4:$A$33,0))="","",INDEX('Supplier Universe &amp; Risk'!$R$4:$R$33,MATCH($A23,'Supplier Universe &amp; Risk'!$A$4:$A$33,0)))</f>
        <v>27</v>
      </c>
      <c r="I23" s="17" t="n">
        <f aca="false">IF(INDEX('Supplier Universe &amp; Risk'!$S$4:$S$33,MATCH($A23,'Supplier Universe &amp; Risk'!$A$4:$A$33,0))="","",INDEX('Supplier Universe &amp; Risk'!$S$4:$S$33,MATCH($A23,'Supplier Universe &amp; Risk'!$A$4:$A$33,0)))</f>
        <v>30</v>
      </c>
      <c r="J23" s="17" t="n">
        <f aca="false">IF(INDEX('Supplier Universe &amp; Risk'!$T$4:$T$33,MATCH($A23,'Supplier Universe &amp; Risk'!$A$4:$A$33,0))="","",INDEX('Supplier Universe &amp; Risk'!$T$4:$T$33,MATCH($A23,'Supplier Universe &amp; Risk'!$A$4:$A$33,0)))</f>
        <v>24</v>
      </c>
      <c r="K23" s="18" t="n">
        <f aca="false">IF(OR(C23="",D23=""),"",(MAX(0,MIN(1,($B$10-C23)/($B$10-$B$11)))*100+MAX(0,MIN(1,(D23-$B$12)/($B$13-$B$12)))*100)/2)</f>
        <v>19.2156862745098</v>
      </c>
      <c r="L23" s="18" t="n">
        <f aca="false">IF(OR(E23="",F23=""),"",(MAX(0,MIN(1,($B$14-E23)/($B$14-$B$15)))*100+MAX(0,MIN(1,($B$16-F23)/($B$16-$B$17)))*100)/2)</f>
        <v>36.3541666666667</v>
      </c>
      <c r="M23" s="18" t="n">
        <f aca="false">IF(COUNT(H23:J23)=3,AVERAGE(H23:J23),"")</f>
        <v>27</v>
      </c>
      <c r="N23" s="18" t="n">
        <f aca="false">IF(G23="","",G23)</f>
        <v>24</v>
      </c>
      <c r="O23" s="7" t="n">
        <f aca="false">(K23="")+(L23="")+(M23="")+(N23="")</f>
        <v>0</v>
      </c>
      <c r="P23" s="7" t="str">
        <f aca="false">IF(O23=0,"Complete",IF(O23=1,"Partial - 1 pillar defaulted","Limited - "&amp;O23&amp;" pillars defaulted"))</f>
        <v>Complete</v>
      </c>
      <c r="Q23" s="18" t="n">
        <f aca="false">$B$5*IF(K23="",$B$18,K23)+$B$6*IF(L23="",$B$18,L23)+$B$7*IF(M23="",$B$18,M23)+$B$8*IF(N23="",$B$18,N23)</f>
        <v>26.5532475490196</v>
      </c>
      <c r="R23" s="16" t="n">
        <f aca="false">IF(INDEX('Supplier Universe &amp; Risk'!$U$4:$U$33,MATCH($A23,'Supplier Universe &amp; Risk'!$A$4:$A$33,0))="","",INDEX('Supplier Universe &amp; Risk'!$U$4:$U$33,MATCH($A23,'Supplier Universe &amp; Risk'!$A$4:$A$33,0)))</f>
        <v>51.8</v>
      </c>
      <c r="S23" s="17" t="str">
        <f aca="false">IF(INDEX('Supplier Universe &amp; Risk'!$V$4:$V$33,MATCH($A23,'Supplier Universe &amp; Risk'!$A$4:$A$33,0))="","",INDEX('Supplier Universe &amp; Risk'!$V$4:$V$33,MATCH($A23,'Supplier Universe &amp; Risk'!$A$4:$A$33,0)))</f>
        <v>MEDIUM</v>
      </c>
      <c r="T23" s="19" t="n">
        <f aca="false">R23-Q23</f>
        <v>25.2467524509804</v>
      </c>
      <c r="U23" s="7" t="n">
        <f aca="false">RANK(R23,$R$23:$R$46)</f>
        <v>17</v>
      </c>
      <c r="V23" s="7" t="n">
        <f aca="false">RANK(Q23,$Q$23:$Q$46)</f>
        <v>23</v>
      </c>
    </row>
    <row r="24" customFormat="false" ht="18" hidden="false" customHeight="true" outlineLevel="0" collapsed="false">
      <c r="A24" s="6" t="s">
        <v>122</v>
      </c>
      <c r="B24" s="6" t="s">
        <v>123</v>
      </c>
      <c r="C24" s="20" t="n">
        <f aca="false">IF(INDEX('Supplier Universe &amp; Risk'!$M$4:$M$33,MATCH($A24,'Supplier Universe &amp; Risk'!$A$4:$A$33,0))="","",INDEX('Supplier Universe &amp; Risk'!$M$4:$M$33,MATCH($A24,'Supplier Universe &amp; Risk'!$A$4:$A$33,0)))</f>
        <v>1.54</v>
      </c>
      <c r="D24" s="20" t="n">
        <f aca="false">IF(INDEX('Supplier Universe &amp; Risk'!$N$4:$N$33,MATCH($A24,'Supplier Universe &amp; Risk'!$A$4:$A$33,0))="","",INDEX('Supplier Universe &amp; Risk'!$N$4:$N$33,MATCH($A24,'Supplier Universe &amp; Risk'!$A$4:$A$33,0)))</f>
        <v>3</v>
      </c>
      <c r="E24" s="21" t="n">
        <f aca="false">IF(INDEX('Supplier Universe &amp; Risk'!$O$4:$O$33,MATCH($A24,'Supplier Universe &amp; Risk'!$A$4:$A$33,0))="","",INDEX('Supplier Universe &amp; Risk'!$O$4:$O$33,MATCH($A24,'Supplier Universe &amp; Risk'!$A$4:$A$33,0)))</f>
        <v>83.1</v>
      </c>
      <c r="F24" s="21" t="n">
        <f aca="false">IF(INDEX('Supplier Universe &amp; Risk'!$P$4:$P$33,MATCH($A24,'Supplier Universe &amp; Risk'!$A$4:$A$33,0))="","",INDEX('Supplier Universe &amp; Risk'!$P$4:$P$33,MATCH($A24,'Supplier Universe &amp; Risk'!$A$4:$A$33,0)))</f>
        <v>2.2</v>
      </c>
      <c r="G24" s="22" t="n">
        <f aca="false">IF(INDEX('Supplier Universe &amp; Risk'!$Q$4:$Q$33,MATCH($A24,'Supplier Universe &amp; Risk'!$A$4:$A$33,0))="","",INDEX('Supplier Universe &amp; Risk'!$Q$4:$Q$33,MATCH($A24,'Supplier Universe &amp; Risk'!$A$4:$A$33,0)))</f>
        <v>33</v>
      </c>
      <c r="H24" s="22" t="n">
        <f aca="false">IF(INDEX('Supplier Universe &amp; Risk'!$R$4:$R$33,MATCH($A24,'Supplier Universe &amp; Risk'!$A$4:$A$33,0))="","",INDEX('Supplier Universe &amp; Risk'!$R$4:$R$33,MATCH($A24,'Supplier Universe &amp; Risk'!$A$4:$A$33,0)))</f>
        <v>31</v>
      </c>
      <c r="I24" s="22" t="n">
        <f aca="false">IF(INDEX('Supplier Universe &amp; Risk'!$S$4:$S$33,MATCH($A24,'Supplier Universe &amp; Risk'!$A$4:$A$33,0))="","",INDEX('Supplier Universe &amp; Risk'!$S$4:$S$33,MATCH($A24,'Supplier Universe &amp; Risk'!$A$4:$A$33,0)))</f>
        <v>23</v>
      </c>
      <c r="J24" s="22" t="n">
        <f aca="false">IF(INDEX('Supplier Universe &amp; Risk'!$T$4:$T$33,MATCH($A24,'Supplier Universe &amp; Risk'!$A$4:$A$33,0))="","",INDEX('Supplier Universe &amp; Risk'!$T$4:$T$33,MATCH($A24,'Supplier Universe &amp; Risk'!$A$4:$A$33,0)))</f>
        <v>19</v>
      </c>
      <c r="K24" s="23" t="n">
        <f aca="false">IF(OR(C24="",D24=""),"",(MAX(0,MIN(1,($B$10-C24)/($B$10-$B$11)))*100+MAX(0,MIN(1,(D24-$B$12)/($B$13-$B$12)))*100)/2)</f>
        <v>44.9019607843137</v>
      </c>
      <c r="L24" s="23" t="n">
        <f aca="false">IF(OR(E24="",F24=""),"",(MAX(0,MIN(1,($B$14-E24)/($B$14-$B$15)))*100+MAX(0,MIN(1,($B$16-F24)/($B$16-$B$17)))*100)/2)</f>
        <v>29.7172619047619</v>
      </c>
      <c r="M24" s="23" t="n">
        <f aca="false">IF(COUNT(H24:J24)=3,AVERAGE(H24:J24),"")</f>
        <v>24.3333333333333</v>
      </c>
      <c r="N24" s="23" t="n">
        <f aca="false">IF(G24="","",G24)</f>
        <v>33</v>
      </c>
      <c r="O24" s="6" t="n">
        <f aca="false">(K24="")+(L24="")+(M24="")+(N24="")</f>
        <v>0</v>
      </c>
      <c r="P24" s="6" t="str">
        <f aca="false">IF(O24=0,"Complete",IF(O24=1,"Partial - 1 pillar defaulted","Limited - "&amp;O24&amp;" pillars defaulted"))</f>
        <v>Complete</v>
      </c>
      <c r="Q24" s="23" t="n">
        <f aca="false">$B$5*IF(K24="",$B$18,K24)+$B$6*IF(L24="",$B$18,L24)+$B$7*IF(M24="",$B$18,M24)+$B$8*IF(N24="",$B$18,N24)</f>
        <v>33.1499037114846</v>
      </c>
      <c r="R24" s="21" t="n">
        <f aca="false">IF(INDEX('Supplier Universe &amp; Risk'!$U$4:$U$33,MATCH($A24,'Supplier Universe &amp; Risk'!$A$4:$A$33,0))="","",INDEX('Supplier Universe &amp; Risk'!$U$4:$U$33,MATCH($A24,'Supplier Universe &amp; Risk'!$A$4:$A$33,0)))</f>
        <v>52.7</v>
      </c>
      <c r="S24" s="22" t="str">
        <f aca="false">IF(INDEX('Supplier Universe &amp; Risk'!$V$4:$V$33,MATCH($A24,'Supplier Universe &amp; Risk'!$A$4:$A$33,0))="","",INDEX('Supplier Universe &amp; Risk'!$V$4:$V$33,MATCH($A24,'Supplier Universe &amp; Risk'!$A$4:$A$33,0)))</f>
        <v>MEDIUM</v>
      </c>
      <c r="T24" s="24" t="n">
        <f aca="false">R24-Q24</f>
        <v>19.5500962885154</v>
      </c>
      <c r="U24" s="6" t="n">
        <f aca="false">RANK(R24,$R$23:$R$46)</f>
        <v>16</v>
      </c>
      <c r="V24" s="6" t="n">
        <f aca="false">RANK(Q24,$Q$23:$Q$46)</f>
        <v>19</v>
      </c>
    </row>
    <row r="25" customFormat="false" ht="18" hidden="false" customHeight="true" outlineLevel="0" collapsed="false">
      <c r="A25" s="7" t="s">
        <v>128</v>
      </c>
      <c r="B25" s="7" t="s">
        <v>129</v>
      </c>
      <c r="C25" s="15" t="n">
        <f aca="false">IF(INDEX('Supplier Universe &amp; Risk'!$M$4:$M$33,MATCH($A25,'Supplier Universe &amp; Risk'!$A$4:$A$33,0))="","",INDEX('Supplier Universe &amp; Risk'!$M$4:$M$33,MATCH($A25,'Supplier Universe &amp; Risk'!$A$4:$A$33,0)))</f>
        <v>2.34</v>
      </c>
      <c r="D25" s="15" t="n">
        <f aca="false">IF(INDEX('Supplier Universe &amp; Risk'!$N$4:$N$33,MATCH($A25,'Supplier Universe &amp; Risk'!$A$4:$A$33,0))="","",INDEX('Supplier Universe &amp; Risk'!$N$4:$N$33,MATCH($A25,'Supplier Universe &amp; Risk'!$A$4:$A$33,0)))</f>
        <v>4</v>
      </c>
      <c r="E25" s="16" t="n">
        <f aca="false">IF(INDEX('Supplier Universe &amp; Risk'!$O$4:$O$33,MATCH($A25,'Supplier Universe &amp; Risk'!$A$4:$A$33,0))="","",INDEX('Supplier Universe &amp; Risk'!$O$4:$O$33,MATCH($A25,'Supplier Universe &amp; Risk'!$A$4:$A$33,0)))</f>
        <v>83.3</v>
      </c>
      <c r="F25" s="16" t="n">
        <f aca="false">IF(INDEX('Supplier Universe &amp; Risk'!$P$4:$P$33,MATCH($A25,'Supplier Universe &amp; Risk'!$A$4:$A$33,0))="","",INDEX('Supplier Universe &amp; Risk'!$P$4:$P$33,MATCH($A25,'Supplier Universe &amp; Risk'!$A$4:$A$33,0)))</f>
        <v>-2.3</v>
      </c>
      <c r="G25" s="17" t="n">
        <f aca="false">IF(INDEX('Supplier Universe &amp; Risk'!$Q$4:$Q$33,MATCH($A25,'Supplier Universe &amp; Risk'!$A$4:$A$33,0))="","",INDEX('Supplier Universe &amp; Risk'!$Q$4:$Q$33,MATCH($A25,'Supplier Universe &amp; Risk'!$A$4:$A$33,0)))</f>
        <v>42</v>
      </c>
      <c r="H25" s="17" t="n">
        <f aca="false">IF(INDEX('Supplier Universe &amp; Risk'!$R$4:$R$33,MATCH($A25,'Supplier Universe &amp; Risk'!$A$4:$A$33,0))="","",INDEX('Supplier Universe &amp; Risk'!$R$4:$R$33,MATCH($A25,'Supplier Universe &amp; Risk'!$A$4:$A$33,0)))</f>
        <v>58</v>
      </c>
      <c r="I25" s="17" t="n">
        <f aca="false">IF(INDEX('Supplier Universe &amp; Risk'!$S$4:$S$33,MATCH($A25,'Supplier Universe &amp; Risk'!$A$4:$A$33,0))="","",INDEX('Supplier Universe &amp; Risk'!$S$4:$S$33,MATCH($A25,'Supplier Universe &amp; Risk'!$A$4:$A$33,0)))</f>
        <v>62</v>
      </c>
      <c r="J25" s="17" t="n">
        <f aca="false">IF(INDEX('Supplier Universe &amp; Risk'!$T$4:$T$33,MATCH($A25,'Supplier Universe &amp; Risk'!$A$4:$A$33,0))="","",INDEX('Supplier Universe &amp; Risk'!$T$4:$T$33,MATCH($A25,'Supplier Universe &amp; Risk'!$A$4:$A$33,0)))</f>
        <v>52</v>
      </c>
      <c r="K25" s="18" t="n">
        <f aca="false">IF(OR(C25="",D25=""),"",(MAX(0,MIN(1,($B$10-C25)/($B$10-$B$11)))*100+MAX(0,MIN(1,(D25-$B$12)/($B$13-$B$12)))*100)/2)</f>
        <v>29.7058823529412</v>
      </c>
      <c r="L25" s="18" t="n">
        <f aca="false">IF(OR(E25="",F25=""),"",(MAX(0,MIN(1,($B$14-E25)/($B$14-$B$15)))*100+MAX(0,MIN(1,($B$16-F25)/($B$16-$B$17)))*100)/2)</f>
        <v>39.8065476190476</v>
      </c>
      <c r="M25" s="18" t="n">
        <f aca="false">IF(COUNT(H25:J25)=3,AVERAGE(H25:J25),"")</f>
        <v>57.3333333333333</v>
      </c>
      <c r="N25" s="18" t="n">
        <f aca="false">IF(G25="","",G25)</f>
        <v>42</v>
      </c>
      <c r="O25" s="7" t="n">
        <f aca="false">(K25="")+(L25="")+(M25="")+(N25="")</f>
        <v>0</v>
      </c>
      <c r="P25" s="7" t="str">
        <f aca="false">IF(O25=0,"Complete",IF(O25=1,"Partial - 1 pillar defaulted","Limited - "&amp;O25&amp;" pillars defaulted"))</f>
        <v>Complete</v>
      </c>
      <c r="Q25" s="18" t="n">
        <f aca="false">$B$5*IF(K25="",$B$18,K25)+$B$6*IF(L25="",$B$18,L25)+$B$7*IF(M25="",$B$18,M25)+$B$8*IF(N25="",$B$18,N25)</f>
        <v>42.3634016106443</v>
      </c>
      <c r="R25" s="16" t="n">
        <f aca="false">IF(INDEX('Supplier Universe &amp; Risk'!$U$4:$U$33,MATCH($A25,'Supplier Universe &amp; Risk'!$A$4:$A$33,0))="","",INDEX('Supplier Universe &amp; Risk'!$U$4:$U$33,MATCH($A25,'Supplier Universe &amp; Risk'!$A$4:$A$33,0)))</f>
        <v>69</v>
      </c>
      <c r="S25" s="17" t="str">
        <f aca="false">IF(INDEX('Supplier Universe &amp; Risk'!$V$4:$V$33,MATCH($A25,'Supplier Universe &amp; Risk'!$A$4:$A$33,0))="","",INDEX('Supplier Universe &amp; Risk'!$V$4:$V$33,MATCH($A25,'Supplier Universe &amp; Risk'!$A$4:$A$33,0)))</f>
        <v>HIGH</v>
      </c>
      <c r="T25" s="19" t="n">
        <f aca="false">R25-Q25</f>
        <v>26.6365983893557</v>
      </c>
      <c r="U25" s="7" t="n">
        <f aca="false">RANK(R25,$R$23:$R$46)</f>
        <v>7</v>
      </c>
      <c r="V25" s="7" t="n">
        <f aca="false">RANK(Q25,$Q$23:$Q$46)</f>
        <v>13</v>
      </c>
    </row>
    <row r="26" customFormat="false" ht="18" hidden="false" customHeight="true" outlineLevel="0" collapsed="false">
      <c r="A26" s="6" t="s">
        <v>142</v>
      </c>
      <c r="B26" s="6" t="s">
        <v>143</v>
      </c>
      <c r="C26" s="20" t="n">
        <f aca="false">IF(INDEX('Supplier Universe &amp; Risk'!$M$4:$M$33,MATCH($A26,'Supplier Universe &amp; Risk'!$A$4:$A$33,0))="","",INDEX('Supplier Universe &amp; Risk'!$M$4:$M$33,MATCH($A26,'Supplier Universe &amp; Risk'!$A$4:$A$33,0)))</f>
        <v>1.82</v>
      </c>
      <c r="D26" s="20" t="n">
        <f aca="false">IF(INDEX('Supplier Universe &amp; Risk'!$N$4:$N$33,MATCH($A26,'Supplier Universe &amp; Risk'!$A$4:$A$33,0))="","",INDEX('Supplier Universe &amp; Risk'!$N$4:$N$33,MATCH($A26,'Supplier Universe &amp; Risk'!$A$4:$A$33,0)))</f>
        <v>1.67</v>
      </c>
      <c r="E26" s="21" t="n">
        <f aca="false">IF(INDEX('Supplier Universe &amp; Risk'!$O$4:$O$33,MATCH($A26,'Supplier Universe &amp; Risk'!$A$4:$A$33,0))="","",INDEX('Supplier Universe &amp; Risk'!$O$4:$O$33,MATCH($A26,'Supplier Universe &amp; Risk'!$A$4:$A$33,0)))</f>
        <v>86.9</v>
      </c>
      <c r="F26" s="21" t="n">
        <f aca="false">IF(INDEX('Supplier Universe &amp; Risk'!$P$4:$P$33,MATCH($A26,'Supplier Universe &amp; Risk'!$A$4:$A$33,0))="","",INDEX('Supplier Universe &amp; Risk'!$P$4:$P$33,MATCH($A26,'Supplier Universe &amp; Risk'!$A$4:$A$33,0)))</f>
        <v>2.2</v>
      </c>
      <c r="G26" s="22" t="n">
        <f aca="false">IF(INDEX('Supplier Universe &amp; Risk'!$Q$4:$Q$33,MATCH($A26,'Supplier Universe &amp; Risk'!$A$4:$A$33,0))="","",INDEX('Supplier Universe &amp; Risk'!$Q$4:$Q$33,MATCH($A26,'Supplier Universe &amp; Risk'!$A$4:$A$33,0)))</f>
        <v>51</v>
      </c>
      <c r="H26" s="22" t="n">
        <f aca="false">IF(INDEX('Supplier Universe &amp; Risk'!$R$4:$R$33,MATCH($A26,'Supplier Universe &amp; Risk'!$A$4:$A$33,0))="","",INDEX('Supplier Universe &amp; Risk'!$R$4:$R$33,MATCH($A26,'Supplier Universe &amp; Risk'!$A$4:$A$33,0)))</f>
        <v>19</v>
      </c>
      <c r="I26" s="22" t="n">
        <f aca="false">IF(INDEX('Supplier Universe &amp; Risk'!$S$4:$S$33,MATCH($A26,'Supplier Universe &amp; Risk'!$A$4:$A$33,0))="","",INDEX('Supplier Universe &amp; Risk'!$S$4:$S$33,MATCH($A26,'Supplier Universe &amp; Risk'!$A$4:$A$33,0)))</f>
        <v>26</v>
      </c>
      <c r="J26" s="22" t="n">
        <f aca="false">IF(INDEX('Supplier Universe &amp; Risk'!$T$4:$T$33,MATCH($A26,'Supplier Universe &amp; Risk'!$A$4:$A$33,0))="","",INDEX('Supplier Universe &amp; Risk'!$T$4:$T$33,MATCH($A26,'Supplier Universe &amp; Risk'!$A$4:$A$33,0)))</f>
        <v>25</v>
      </c>
      <c r="K26" s="23" t="n">
        <f aca="false">IF(OR(C26="",D26=""),"",(MAX(0,MIN(1,($B$10-C26)/($B$10-$B$11)))*100+MAX(0,MIN(1,(D26-$B$12)/($B$13-$B$12)))*100)/2)</f>
        <v>25.5833333333333</v>
      </c>
      <c r="L26" s="23" t="n">
        <f aca="false">IF(OR(E26="",F26=""),"",(MAX(0,MIN(1,($B$14-E26)/($B$14-$B$15)))*100+MAX(0,MIN(1,($B$16-F26)/($B$16-$B$17)))*100)/2)</f>
        <v>17.8422619047619</v>
      </c>
      <c r="M26" s="23" t="n">
        <f aca="false">IF(COUNT(H26:J26)=3,AVERAGE(H26:J26),"")</f>
        <v>23.3333333333333</v>
      </c>
      <c r="N26" s="23" t="n">
        <f aca="false">IF(G26="","",G26)</f>
        <v>51</v>
      </c>
      <c r="O26" s="6" t="n">
        <f aca="false">(K26="")+(L26="")+(M26="")+(N26="")</f>
        <v>0</v>
      </c>
      <c r="P26" s="6" t="str">
        <f aca="false">IF(O26=0,"Complete",IF(O26=1,"Partial - 1 pillar defaulted","Limited - "&amp;O26&amp;" pillars defaulted"))</f>
        <v>Complete</v>
      </c>
      <c r="Q26" s="23" t="n">
        <f aca="false">$B$5*IF(K26="",$B$18,K26)+$B$6*IF(L26="",$B$18,L26)+$B$7*IF(M26="",$B$18,M26)+$B$8*IF(N26="",$B$18,N26)</f>
        <v>26.7855654761905</v>
      </c>
      <c r="R26" s="21" t="n">
        <f aca="false">IF(INDEX('Supplier Universe &amp; Risk'!$U$4:$U$33,MATCH($A26,'Supplier Universe &amp; Risk'!$A$4:$A$33,0))="","",INDEX('Supplier Universe &amp; Risk'!$U$4:$U$33,MATCH($A26,'Supplier Universe &amp; Risk'!$A$4:$A$33,0)))</f>
        <v>49.7</v>
      </c>
      <c r="S26" s="22" t="str">
        <f aca="false">IF(INDEX('Supplier Universe &amp; Risk'!$V$4:$V$33,MATCH($A26,'Supplier Universe &amp; Risk'!$A$4:$A$33,0))="","",INDEX('Supplier Universe &amp; Risk'!$V$4:$V$33,MATCH($A26,'Supplier Universe &amp; Risk'!$A$4:$A$33,0)))</f>
        <v>MEDIUM</v>
      </c>
      <c r="T26" s="24" t="n">
        <f aca="false">R26-Q26</f>
        <v>22.9144345238095</v>
      </c>
      <c r="U26" s="6" t="n">
        <f aca="false">RANK(R26,$R$23:$R$46)</f>
        <v>19</v>
      </c>
      <c r="V26" s="6" t="n">
        <f aca="false">RANK(Q26,$Q$23:$Q$46)</f>
        <v>22</v>
      </c>
    </row>
    <row r="27" customFormat="false" ht="18" hidden="false" customHeight="true" outlineLevel="0" collapsed="false">
      <c r="A27" s="7" t="s">
        <v>152</v>
      </c>
      <c r="B27" s="7" t="s">
        <v>153</v>
      </c>
      <c r="C27" s="15" t="n">
        <f aca="false">IF(INDEX('Supplier Universe &amp; Risk'!$M$4:$M$33,MATCH($A27,'Supplier Universe &amp; Risk'!$A$4:$A$33,0))="","",INDEX('Supplier Universe &amp; Risk'!$M$4:$M$33,MATCH($A27,'Supplier Universe &amp; Risk'!$A$4:$A$33,0)))</f>
        <v>2.53</v>
      </c>
      <c r="D27" s="15" t="n">
        <f aca="false">IF(INDEX('Supplier Universe &amp; Risk'!$N$4:$N$33,MATCH($A27,'Supplier Universe &amp; Risk'!$A$4:$A$33,0))="","",INDEX('Supplier Universe &amp; Risk'!$N$4:$N$33,MATCH($A27,'Supplier Universe &amp; Risk'!$A$4:$A$33,0)))</f>
        <v>2.67</v>
      </c>
      <c r="E27" s="16" t="n">
        <f aca="false">IF(INDEX('Supplier Universe &amp; Risk'!$O$4:$O$33,MATCH($A27,'Supplier Universe &amp; Risk'!$A$4:$A$33,0))="","",INDEX('Supplier Universe &amp; Risk'!$O$4:$O$33,MATCH($A27,'Supplier Universe &amp; Risk'!$A$4:$A$33,0)))</f>
        <v>89.7</v>
      </c>
      <c r="F27" s="16" t="n">
        <f aca="false">IF(INDEX('Supplier Universe &amp; Risk'!$P$4:$P$33,MATCH($A27,'Supplier Universe &amp; Risk'!$A$4:$A$33,0))="","",INDEX('Supplier Universe &amp; Risk'!$P$4:$P$33,MATCH($A27,'Supplier Universe &amp; Risk'!$A$4:$A$33,0)))</f>
        <v>1.8</v>
      </c>
      <c r="G27" s="17" t="n">
        <f aca="false">IF(INDEX('Supplier Universe &amp; Risk'!$Q$4:$Q$33,MATCH($A27,'Supplier Universe &amp; Risk'!$A$4:$A$33,0))="","",INDEX('Supplier Universe &amp; Risk'!$Q$4:$Q$33,MATCH($A27,'Supplier Universe &amp; Risk'!$A$4:$A$33,0)))</f>
        <v>60</v>
      </c>
      <c r="H27" s="17" t="n">
        <f aca="false">IF(INDEX('Supplier Universe &amp; Risk'!$R$4:$R$33,MATCH($A27,'Supplier Universe &amp; Risk'!$A$4:$A$33,0))="","",INDEX('Supplier Universe &amp; Risk'!$R$4:$R$33,MATCH($A27,'Supplier Universe &amp; Risk'!$A$4:$A$33,0)))</f>
        <v>67</v>
      </c>
      <c r="I27" s="17" t="n">
        <f aca="false">IF(INDEX('Supplier Universe &amp; Risk'!$S$4:$S$33,MATCH($A27,'Supplier Universe &amp; Risk'!$A$4:$A$33,0))="","",INDEX('Supplier Universe &amp; Risk'!$S$4:$S$33,MATCH($A27,'Supplier Universe &amp; Risk'!$A$4:$A$33,0)))</f>
        <v>59</v>
      </c>
      <c r="J27" s="17" t="n">
        <f aca="false">IF(INDEX('Supplier Universe &amp; Risk'!$T$4:$T$33,MATCH($A27,'Supplier Universe &amp; Risk'!$A$4:$A$33,0))="","",INDEX('Supplier Universe &amp; Risk'!$T$4:$T$33,MATCH($A27,'Supplier Universe &amp; Risk'!$A$4:$A$33,0)))</f>
        <v>54</v>
      </c>
      <c r="K27" s="18" t="n">
        <f aca="false">IF(OR(C27="",D27=""),"",(MAX(0,MIN(1,($B$10-C27)/($B$10-$B$11)))*100+MAX(0,MIN(1,(D27-$B$12)/($B$13-$B$12)))*100)/2)</f>
        <v>13.9166666666667</v>
      </c>
      <c r="L27" s="18" t="n">
        <f aca="false">IF(OR(E27="",F27=""),"",(MAX(0,MIN(1,($B$14-E27)/($B$14-$B$15)))*100+MAX(0,MIN(1,($B$16-F27)/($B$16-$B$17)))*100)/2)</f>
        <v>10.0446428571428</v>
      </c>
      <c r="M27" s="18" t="n">
        <f aca="false">IF(COUNT(H27:J27)=3,AVERAGE(H27:J27),"")</f>
        <v>60</v>
      </c>
      <c r="N27" s="18" t="n">
        <f aca="false">IF(G27="","",G27)</f>
        <v>60</v>
      </c>
      <c r="O27" s="7" t="n">
        <f aca="false">(K27="")+(L27="")+(M27="")+(N27="")</f>
        <v>0</v>
      </c>
      <c r="P27" s="7" t="str">
        <f aca="false">IF(O27=0,"Complete",IF(O27=1,"Partial - 1 pillar defaulted","Limited - "&amp;O27&amp;" pillars defaulted"))</f>
        <v>Complete</v>
      </c>
      <c r="Q27" s="18" t="n">
        <f aca="false">$B$5*IF(K27="",$B$18,K27)+$B$6*IF(L27="",$B$18,L27)+$B$7*IF(M27="",$B$18,M27)+$B$8*IF(N27="",$B$18,N27)</f>
        <v>33.6861607142857</v>
      </c>
      <c r="R27" s="16" t="n">
        <f aca="false">IF(INDEX('Supplier Universe &amp; Risk'!$U$4:$U$33,MATCH($A27,'Supplier Universe &amp; Risk'!$A$4:$A$33,0))="","",INDEX('Supplier Universe &amp; Risk'!$U$4:$U$33,MATCH($A27,'Supplier Universe &amp; Risk'!$A$4:$A$33,0)))</f>
        <v>48.4</v>
      </c>
      <c r="S27" s="17" t="str">
        <f aca="false">IF(INDEX('Supplier Universe &amp; Risk'!$V$4:$V$33,MATCH($A27,'Supplier Universe &amp; Risk'!$A$4:$A$33,0))="","",INDEX('Supplier Universe &amp; Risk'!$V$4:$V$33,MATCH($A27,'Supplier Universe &amp; Risk'!$A$4:$A$33,0)))</f>
        <v>MEDIUM</v>
      </c>
      <c r="T27" s="19" t="n">
        <f aca="false">R27-Q27</f>
        <v>14.7138392857143</v>
      </c>
      <c r="U27" s="7" t="n">
        <f aca="false">RANK(R27,$R$23:$R$46)</f>
        <v>20</v>
      </c>
      <c r="V27" s="7" t="n">
        <f aca="false">RANK(Q27,$Q$23:$Q$46)</f>
        <v>18</v>
      </c>
    </row>
    <row r="28" customFormat="false" ht="18" hidden="false" customHeight="true" outlineLevel="0" collapsed="false">
      <c r="A28" s="6" t="s">
        <v>159</v>
      </c>
      <c r="B28" s="6" t="s">
        <v>160</v>
      </c>
      <c r="C28" s="20" t="n">
        <f aca="false">IF(INDEX('Supplier Universe &amp; Risk'!$M$4:$M$33,MATCH($A28,'Supplier Universe &amp; Risk'!$A$4:$A$33,0))="","",INDEX('Supplier Universe &amp; Risk'!$M$4:$M$33,MATCH($A28,'Supplier Universe &amp; Risk'!$A$4:$A$33,0)))</f>
        <v>1.94</v>
      </c>
      <c r="D28" s="20" t="n">
        <f aca="false">IF(INDEX('Supplier Universe &amp; Risk'!$N$4:$N$33,MATCH($A28,'Supplier Universe &amp; Risk'!$A$4:$A$33,0))="","",INDEX('Supplier Universe &amp; Risk'!$N$4:$N$33,MATCH($A28,'Supplier Universe &amp; Risk'!$A$4:$A$33,0)))</f>
        <v>3.67</v>
      </c>
      <c r="E28" s="21" t="n">
        <f aca="false">IF(INDEX('Supplier Universe &amp; Risk'!$O$4:$O$33,MATCH($A28,'Supplier Universe &amp; Risk'!$A$4:$A$33,0))="","",INDEX('Supplier Universe &amp; Risk'!$O$4:$O$33,MATCH($A28,'Supplier Universe &amp; Risk'!$A$4:$A$33,0)))</f>
        <v>89.8</v>
      </c>
      <c r="F28" s="21" t="n">
        <f aca="false">IF(INDEX('Supplier Universe &amp; Risk'!$P$4:$P$33,MATCH($A28,'Supplier Universe &amp; Risk'!$A$4:$A$33,0))="","",INDEX('Supplier Universe &amp; Risk'!$P$4:$P$33,MATCH($A28,'Supplier Universe &amp; Risk'!$A$4:$A$33,0)))</f>
        <v>-0.3</v>
      </c>
      <c r="G28" s="22" t="n">
        <f aca="false">IF(INDEX('Supplier Universe &amp; Risk'!$Q$4:$Q$33,MATCH($A28,'Supplier Universe &amp; Risk'!$A$4:$A$33,0))="","",INDEX('Supplier Universe &amp; Risk'!$Q$4:$Q$33,MATCH($A28,'Supplier Universe &amp; Risk'!$A$4:$A$33,0)))</f>
        <v>69</v>
      </c>
      <c r="H28" s="22" t="n">
        <f aca="false">IF(INDEX('Supplier Universe &amp; Risk'!$R$4:$R$33,MATCH($A28,'Supplier Universe &amp; Risk'!$A$4:$A$33,0))="","",INDEX('Supplier Universe &amp; Risk'!$R$4:$R$33,MATCH($A28,'Supplier Universe &amp; Risk'!$A$4:$A$33,0)))</f>
        <v>27</v>
      </c>
      <c r="I28" s="22" t="n">
        <f aca="false">IF(INDEX('Supplier Universe &amp; Risk'!$S$4:$S$33,MATCH($A28,'Supplier Universe &amp; Risk'!$A$4:$A$33,0))="","",INDEX('Supplier Universe &amp; Risk'!$S$4:$S$33,MATCH($A28,'Supplier Universe &amp; Risk'!$A$4:$A$33,0)))</f>
        <v>30</v>
      </c>
      <c r="J28" s="22" t="n">
        <f aca="false">IF(INDEX('Supplier Universe &amp; Risk'!$T$4:$T$33,MATCH($A28,'Supplier Universe &amp; Risk'!$A$4:$A$33,0))="","",INDEX('Supplier Universe &amp; Risk'!$T$4:$T$33,MATCH($A28,'Supplier Universe &amp; Risk'!$A$4:$A$33,0)))</f>
        <v>24</v>
      </c>
      <c r="K28" s="23" t="n">
        <f aca="false">IF(OR(C28="",D28=""),"",(MAX(0,MIN(1,($B$10-C28)/($B$10-$B$11)))*100+MAX(0,MIN(1,(D28-$B$12)/($B$13-$B$12)))*100)/2)</f>
        <v>38.7205882352941</v>
      </c>
      <c r="L28" s="23" t="n">
        <f aca="false">IF(OR(E28="",F28=""),"",(MAX(0,MIN(1,($B$14-E28)/($B$14-$B$15)))*100+MAX(0,MIN(1,($B$16-F28)/($B$16-$B$17)))*100)/2)</f>
        <v>14.7321428571429</v>
      </c>
      <c r="M28" s="23" t="n">
        <f aca="false">IF(COUNT(H28:J28)=3,AVERAGE(H28:J28),"")</f>
        <v>27</v>
      </c>
      <c r="N28" s="23" t="n">
        <f aca="false">IF(G28="","",G28)</f>
        <v>69</v>
      </c>
      <c r="O28" s="6" t="n">
        <f aca="false">(K28="")+(L28="")+(M28="")+(N28="")</f>
        <v>0</v>
      </c>
      <c r="P28" s="6" t="str">
        <f aca="false">IF(O28=0,"Complete",IF(O28=1,"Partial - 1 pillar defaulted","Limited - "&amp;O28&amp;" pillars defaulted"))</f>
        <v>Complete</v>
      </c>
      <c r="Q28" s="23" t="n">
        <f aca="false">$B$5*IF(K28="",$B$18,K28)+$B$6*IF(L28="",$B$18,L28)+$B$7*IF(M28="",$B$18,M28)+$B$8*IF(N28="",$B$18,N28)</f>
        <v>33.749212184874</v>
      </c>
      <c r="R28" s="21" t="n">
        <f aca="false">IF(INDEX('Supplier Universe &amp; Risk'!$U$4:$U$33,MATCH($A28,'Supplier Universe &amp; Risk'!$A$4:$A$33,0))="","",INDEX('Supplier Universe &amp; Risk'!$U$4:$U$33,MATCH($A28,'Supplier Universe &amp; Risk'!$A$4:$A$33,0)))</f>
        <v>45.4</v>
      </c>
      <c r="S28" s="22" t="str">
        <f aca="false">IF(INDEX('Supplier Universe &amp; Risk'!$V$4:$V$33,MATCH($A28,'Supplier Universe &amp; Risk'!$A$4:$A$33,0))="","",INDEX('Supplier Universe &amp; Risk'!$V$4:$V$33,MATCH($A28,'Supplier Universe &amp; Risk'!$A$4:$A$33,0)))</f>
        <v>MEDIUM</v>
      </c>
      <c r="T28" s="24" t="n">
        <f aca="false">R28-Q28</f>
        <v>11.650787815126</v>
      </c>
      <c r="U28" s="6" t="n">
        <f aca="false">RANK(R28,$R$23:$R$46)</f>
        <v>21</v>
      </c>
      <c r="V28" s="6" t="n">
        <f aca="false">RANK(Q28,$Q$23:$Q$46)</f>
        <v>17</v>
      </c>
    </row>
    <row r="29" customFormat="false" ht="18" hidden="false" customHeight="true" outlineLevel="0" collapsed="false">
      <c r="A29" s="7" t="s">
        <v>164</v>
      </c>
      <c r="B29" s="7" t="s">
        <v>165</v>
      </c>
      <c r="C29" s="15" t="n">
        <f aca="false">IF(INDEX('Supplier Universe &amp; Risk'!$M$4:$M$33,MATCH($A29,'Supplier Universe &amp; Risk'!$A$4:$A$33,0))="","",INDEX('Supplier Universe &amp; Risk'!$M$4:$M$33,MATCH($A29,'Supplier Universe &amp; Risk'!$A$4:$A$33,0)))</f>
        <v>1.51</v>
      </c>
      <c r="D29" s="15" t="n">
        <f aca="false">IF(INDEX('Supplier Universe &amp; Risk'!$N$4:$N$33,MATCH($A29,'Supplier Universe &amp; Risk'!$A$4:$A$33,0))="","",INDEX('Supplier Universe &amp; Risk'!$N$4:$N$33,MATCH($A29,'Supplier Universe &amp; Risk'!$A$4:$A$33,0)))</f>
        <v>1.33</v>
      </c>
      <c r="E29" s="16" t="n">
        <f aca="false">IF(INDEX('Supplier Universe &amp; Risk'!$O$4:$O$33,MATCH($A29,'Supplier Universe &amp; Risk'!$A$4:$A$33,0))="","",INDEX('Supplier Universe &amp; Risk'!$O$4:$O$33,MATCH($A29,'Supplier Universe &amp; Risk'!$A$4:$A$33,0)))</f>
        <v>78.8</v>
      </c>
      <c r="F29" s="16" t="n">
        <f aca="false">IF(INDEX('Supplier Universe &amp; Risk'!$P$4:$P$33,MATCH($A29,'Supplier Universe &amp; Risk'!$A$4:$A$33,0))="","",INDEX('Supplier Universe &amp; Risk'!$P$4:$P$33,MATCH($A29,'Supplier Universe &amp; Risk'!$A$4:$A$33,0)))</f>
        <v>-0.9</v>
      </c>
      <c r="G29" s="17" t="n">
        <f aca="false">IF(INDEX('Supplier Universe &amp; Risk'!$Q$4:$Q$33,MATCH($A29,'Supplier Universe &amp; Risk'!$A$4:$A$33,0))="","",INDEX('Supplier Universe &amp; Risk'!$Q$4:$Q$33,MATCH($A29,'Supplier Universe &amp; Risk'!$A$4:$A$33,0)))</f>
        <v>18</v>
      </c>
      <c r="H29" s="17" t="n">
        <f aca="false">IF(INDEX('Supplier Universe &amp; Risk'!$R$4:$R$33,MATCH($A29,'Supplier Universe &amp; Risk'!$A$4:$A$33,0))="","",INDEX('Supplier Universe &amp; Risk'!$R$4:$R$33,MATCH($A29,'Supplier Universe &amp; Risk'!$A$4:$A$33,0)))</f>
        <v>58</v>
      </c>
      <c r="I29" s="17" t="n">
        <f aca="false">IF(INDEX('Supplier Universe &amp; Risk'!$S$4:$S$33,MATCH($A29,'Supplier Universe &amp; Risk'!$A$4:$A$33,0))="","",INDEX('Supplier Universe &amp; Risk'!$S$4:$S$33,MATCH($A29,'Supplier Universe &amp; Risk'!$A$4:$A$33,0)))</f>
        <v>62</v>
      </c>
      <c r="J29" s="17" t="n">
        <f aca="false">IF(INDEX('Supplier Universe &amp; Risk'!$T$4:$T$33,MATCH($A29,'Supplier Universe &amp; Risk'!$A$4:$A$33,0))="","",INDEX('Supplier Universe &amp; Risk'!$T$4:$T$33,MATCH($A29,'Supplier Universe &amp; Risk'!$A$4:$A$33,0)))</f>
        <v>52</v>
      </c>
      <c r="K29" s="18" t="n">
        <f aca="false">IF(OR(C29="",D29=""),"",(MAX(0,MIN(1,($B$10-C29)/($B$10-$B$11)))*100+MAX(0,MIN(1,(D29-$B$12)/($B$13-$B$12)))*100)/2)</f>
        <v>31.8676470588235</v>
      </c>
      <c r="L29" s="18" t="n">
        <f aca="false">IF(OR(E29="",F29=""),"",(MAX(0,MIN(1,($B$14-E29)/($B$14-$B$15)))*100+MAX(0,MIN(1,($B$16-F29)/($B$16-$B$17)))*100)/2)</f>
        <v>50.5357142857143</v>
      </c>
      <c r="M29" s="18" t="n">
        <f aca="false">IF(COUNT(H29:J29)=3,AVERAGE(H29:J29),"")</f>
        <v>57.3333333333333</v>
      </c>
      <c r="N29" s="18" t="n">
        <f aca="false">IF(G29="","",G29)</f>
        <v>18</v>
      </c>
      <c r="O29" s="7" t="n">
        <f aca="false">(K29="")+(L29="")+(M29="")+(N29="")</f>
        <v>0</v>
      </c>
      <c r="P29" s="7" t="str">
        <f aca="false">IF(O29=0,"Complete",IF(O29=1,"Partial - 1 pillar defaulted","Limited - "&amp;O29&amp;" pillars defaulted"))</f>
        <v>Complete</v>
      </c>
      <c r="Q29" s="18" t="n">
        <f aca="false">$B$5*IF(K29="",$B$18,K29)+$B$6*IF(L29="",$B$18,L29)+$B$7*IF(M29="",$B$18,M29)+$B$8*IF(N29="",$B$18,N29)</f>
        <v>42.0942226890756</v>
      </c>
      <c r="R29" s="16" t="n">
        <f aca="false">IF(INDEX('Supplier Universe &amp; Risk'!$U$4:$U$33,MATCH($A29,'Supplier Universe &amp; Risk'!$A$4:$A$33,0))="","",INDEX('Supplier Universe &amp; Risk'!$U$4:$U$33,MATCH($A29,'Supplier Universe &amp; Risk'!$A$4:$A$33,0)))</f>
        <v>44.6</v>
      </c>
      <c r="S29" s="17" t="str">
        <f aca="false">IF(INDEX('Supplier Universe &amp; Risk'!$V$4:$V$33,MATCH($A29,'Supplier Universe &amp; Risk'!$A$4:$A$33,0))="","",INDEX('Supplier Universe &amp; Risk'!$V$4:$V$33,MATCH($A29,'Supplier Universe &amp; Risk'!$A$4:$A$33,0)))</f>
        <v>LOW</v>
      </c>
      <c r="T29" s="19" t="n">
        <f aca="false">R29-Q29</f>
        <v>2.50577731092437</v>
      </c>
      <c r="U29" s="7" t="n">
        <f aca="false">RANK(R29,$R$23:$R$46)</f>
        <v>22</v>
      </c>
      <c r="V29" s="7" t="n">
        <f aca="false">RANK(Q29,$Q$23:$Q$46)</f>
        <v>14</v>
      </c>
    </row>
    <row r="30" customFormat="false" ht="18" hidden="false" customHeight="true" outlineLevel="0" collapsed="false">
      <c r="A30" s="6" t="s">
        <v>177</v>
      </c>
      <c r="B30" s="6" t="s">
        <v>178</v>
      </c>
      <c r="C30" s="20" t="n">
        <f aca="false">IF(INDEX('Supplier Universe &amp; Risk'!$M$4:$M$33,MATCH($A30,'Supplier Universe &amp; Risk'!$A$4:$A$33,0))="","",INDEX('Supplier Universe &amp; Risk'!$M$4:$M$33,MATCH($A30,'Supplier Universe &amp; Risk'!$A$4:$A$33,0)))</f>
        <v>2.24</v>
      </c>
      <c r="D30" s="20" t="n">
        <f aca="false">IF(INDEX('Supplier Universe &amp; Risk'!$N$4:$N$33,MATCH($A30,'Supplier Universe &amp; Risk'!$A$4:$A$33,0))="","",INDEX('Supplier Universe &amp; Risk'!$N$4:$N$33,MATCH($A30,'Supplier Universe &amp; Risk'!$A$4:$A$33,0)))</f>
        <v>2.33</v>
      </c>
      <c r="E30" s="21" t="n">
        <f aca="false">IF(INDEX('Supplier Universe &amp; Risk'!$O$4:$O$33,MATCH($A30,'Supplier Universe &amp; Risk'!$A$4:$A$33,0))="","",INDEX('Supplier Universe &amp; Risk'!$O$4:$O$33,MATCH($A30,'Supplier Universe &amp; Risk'!$A$4:$A$33,0)))</f>
        <v>81.9</v>
      </c>
      <c r="F30" s="21" t="n">
        <f aca="false">IF(INDEX('Supplier Universe &amp; Risk'!$P$4:$P$33,MATCH($A30,'Supplier Universe &amp; Risk'!$A$4:$A$33,0))="","",INDEX('Supplier Universe &amp; Risk'!$P$4:$P$33,MATCH($A30,'Supplier Universe &amp; Risk'!$A$4:$A$33,0)))</f>
        <v>-0.9</v>
      </c>
      <c r="G30" s="22" t="n">
        <f aca="false">IF(INDEX('Supplier Universe &amp; Risk'!$Q$4:$Q$33,MATCH($A30,'Supplier Universe &amp; Risk'!$A$4:$A$33,0))="","",INDEX('Supplier Universe &amp; Risk'!$Q$4:$Q$33,MATCH($A30,'Supplier Universe &amp; Risk'!$A$4:$A$33,0)))</f>
        <v>27</v>
      </c>
      <c r="H30" s="22" t="n">
        <f aca="false">IF(INDEX('Supplier Universe &amp; Risk'!$R$4:$R$33,MATCH($A30,'Supplier Universe &amp; Risk'!$A$4:$A$33,0))="","",INDEX('Supplier Universe &amp; Risk'!$R$4:$R$33,MATCH($A30,'Supplier Universe &amp; Risk'!$A$4:$A$33,0)))</f>
        <v>31</v>
      </c>
      <c r="I30" s="22" t="n">
        <f aca="false">IF(INDEX('Supplier Universe &amp; Risk'!$S$4:$S$33,MATCH($A30,'Supplier Universe &amp; Risk'!$A$4:$A$33,0))="","",INDEX('Supplier Universe &amp; Risk'!$S$4:$S$33,MATCH($A30,'Supplier Universe &amp; Risk'!$A$4:$A$33,0)))</f>
        <v>23</v>
      </c>
      <c r="J30" s="22" t="n">
        <f aca="false">IF(INDEX('Supplier Universe &amp; Risk'!$T$4:$T$33,MATCH($A30,'Supplier Universe &amp; Risk'!$A$4:$A$33,0))="","",INDEX('Supplier Universe &amp; Risk'!$T$4:$T$33,MATCH($A30,'Supplier Universe &amp; Risk'!$A$4:$A$33,0)))</f>
        <v>19</v>
      </c>
      <c r="K30" s="23" t="n">
        <f aca="false">IF(OR(C30="",D30=""),"",(MAX(0,MIN(1,($B$10-C30)/($B$10-$B$11)))*100+MAX(0,MIN(1,(D30-$B$12)/($B$13-$B$12)))*100)/2)</f>
        <v>18.7303921568627</v>
      </c>
      <c r="L30" s="23" t="n">
        <f aca="false">IF(OR(E30="",F30=""),"",(MAX(0,MIN(1,($B$14-E30)/($B$14-$B$15)))*100+MAX(0,MIN(1,($B$16-F30)/($B$16-$B$17)))*100)/2)</f>
        <v>40.8482142857143</v>
      </c>
      <c r="M30" s="23" t="n">
        <f aca="false">IF(COUNT(H30:J30)=3,AVERAGE(H30:J30),"")</f>
        <v>24.3333333333333</v>
      </c>
      <c r="N30" s="23" t="n">
        <f aca="false">IF(G30="","",G30)</f>
        <v>27</v>
      </c>
      <c r="O30" s="6" t="n">
        <f aca="false">(K30="")+(L30="")+(M30="")+(N30="")</f>
        <v>0</v>
      </c>
      <c r="P30" s="6" t="str">
        <f aca="false">IF(O30=0,"Complete",IF(O30=1,"Partial - 1 pillar defaulted","Limited - "&amp;O30&amp;" pillars defaulted"))</f>
        <v>Complete</v>
      </c>
      <c r="Q30" s="23" t="n">
        <f aca="false">$B$5*IF(K30="",$B$18,K30)+$B$6*IF(L30="",$B$18,L30)+$B$7*IF(M30="",$B$18,M30)+$B$8*IF(N30="",$B$18,N30)</f>
        <v>27.1811712184874</v>
      </c>
      <c r="R30" s="21" t="n">
        <f aca="false">IF(INDEX('Supplier Universe &amp; Risk'!$U$4:$U$33,MATCH($A30,'Supplier Universe &amp; Risk'!$A$4:$A$33,0))="","",INDEX('Supplier Universe &amp; Risk'!$U$4:$U$33,MATCH($A30,'Supplier Universe &amp; Risk'!$A$4:$A$33,0)))</f>
        <v>32.5</v>
      </c>
      <c r="S30" s="22" t="str">
        <f aca="false">IF(INDEX('Supplier Universe &amp; Risk'!$V$4:$V$33,MATCH($A30,'Supplier Universe &amp; Risk'!$A$4:$A$33,0))="","",INDEX('Supplier Universe &amp; Risk'!$V$4:$V$33,MATCH($A30,'Supplier Universe &amp; Risk'!$A$4:$A$33,0)))</f>
        <v>LOW</v>
      </c>
      <c r="T30" s="24" t="n">
        <f aca="false">R30-Q30</f>
        <v>5.31882878151261</v>
      </c>
      <c r="U30" s="6" t="n">
        <f aca="false">RANK(R30,$R$23:$R$46)</f>
        <v>24</v>
      </c>
      <c r="V30" s="6" t="n">
        <f aca="false">RANK(Q30,$Q$23:$Q$46)</f>
        <v>21</v>
      </c>
    </row>
    <row r="31" customFormat="false" ht="18" hidden="false" customHeight="true" outlineLevel="0" collapsed="false">
      <c r="A31" s="7" t="s">
        <v>186</v>
      </c>
      <c r="B31" s="7" t="s">
        <v>187</v>
      </c>
      <c r="C31" s="15" t="n">
        <f aca="false">IF(INDEX('Supplier Universe &amp; Risk'!$M$4:$M$33,MATCH($A31,'Supplier Universe &amp; Risk'!$A$4:$A$33,0))="","",INDEX('Supplier Universe &amp; Risk'!$M$4:$M$33,MATCH($A31,'Supplier Universe &amp; Risk'!$A$4:$A$33,0)))</f>
        <v>1.8</v>
      </c>
      <c r="D31" s="15" t="n">
        <f aca="false">IF(INDEX('Supplier Universe &amp; Risk'!$N$4:$N$33,MATCH($A31,'Supplier Universe &amp; Risk'!$A$4:$A$33,0))="","",INDEX('Supplier Universe &amp; Risk'!$N$4:$N$33,MATCH($A31,'Supplier Universe &amp; Risk'!$A$4:$A$33,0)))</f>
        <v>2.4</v>
      </c>
      <c r="E31" s="16" t="n">
        <f aca="false">IF(INDEX('Supplier Universe &amp; Risk'!$O$4:$O$33,MATCH($A31,'Supplier Universe &amp; Risk'!$A$4:$A$33,0))="","",INDEX('Supplier Universe &amp; Risk'!$O$4:$O$33,MATCH($A31,'Supplier Universe &amp; Risk'!$A$4:$A$33,0)))</f>
        <v>85.2</v>
      </c>
      <c r="F31" s="16" t="n">
        <f aca="false">IF(INDEX('Supplier Universe &amp; Risk'!$P$4:$P$33,MATCH($A31,'Supplier Universe &amp; Risk'!$A$4:$A$33,0))="","",INDEX('Supplier Universe &amp; Risk'!$P$4:$P$33,MATCH($A31,'Supplier Universe &amp; Risk'!$A$4:$A$33,0)))</f>
        <v>-8.8</v>
      </c>
      <c r="G31" s="17" t="n">
        <f aca="false">IF(INDEX('Supplier Universe &amp; Risk'!$Q$4:$Q$33,MATCH($A31,'Supplier Universe &amp; Risk'!$A$4:$A$33,0))="","",INDEX('Supplier Universe &amp; Risk'!$Q$4:$Q$33,MATCH($A31,'Supplier Universe &amp; Risk'!$A$4:$A$33,0)))</f>
        <v>36</v>
      </c>
      <c r="H31" s="17" t="n">
        <f aca="false">IF(INDEX('Supplier Universe &amp; Risk'!$R$4:$R$33,MATCH($A31,'Supplier Universe &amp; Risk'!$A$4:$A$33,0))="","",INDEX('Supplier Universe &amp; Risk'!$R$4:$R$33,MATCH($A31,'Supplier Universe &amp; Risk'!$A$4:$A$33,0)))</f>
        <v>82</v>
      </c>
      <c r="I31" s="17" t="n">
        <f aca="false">IF(INDEX('Supplier Universe &amp; Risk'!$S$4:$S$33,MATCH($A31,'Supplier Universe &amp; Risk'!$A$4:$A$33,0))="","",INDEX('Supplier Universe &amp; Risk'!$S$4:$S$33,MATCH($A31,'Supplier Universe &amp; Risk'!$A$4:$A$33,0)))</f>
        <v>76</v>
      </c>
      <c r="J31" s="17" t="n">
        <f aca="false">IF(INDEX('Supplier Universe &amp; Risk'!$T$4:$T$33,MATCH($A31,'Supplier Universe &amp; Risk'!$A$4:$A$33,0))="","",INDEX('Supplier Universe &amp; Risk'!$T$4:$T$33,MATCH($A31,'Supplier Universe &amp; Risk'!$A$4:$A$33,0)))</f>
        <v>71</v>
      </c>
      <c r="K31" s="18" t="n">
        <f aca="false">IF(OR(C31="",D31=""),"",(MAX(0,MIN(1,($B$10-C31)/($B$10-$B$11)))*100+MAX(0,MIN(1,(D31-$B$12)/($B$13-$B$12)))*100)/2)</f>
        <v>32.2549019607843</v>
      </c>
      <c r="L31" s="18" t="n">
        <f aca="false">IF(OR(E31="",F31=""),"",(MAX(0,MIN(1,($B$14-E31)/($B$14-$B$15)))*100+MAX(0,MIN(1,($B$16-F31)/($B$16-$B$17)))*100)/2)</f>
        <v>49.3452380952381</v>
      </c>
      <c r="M31" s="18" t="n">
        <f aca="false">IF(COUNT(H31:J31)=3,AVERAGE(H31:J31),"")</f>
        <v>76.3333333333333</v>
      </c>
      <c r="N31" s="18" t="n">
        <f aca="false">IF(G31="","",G31)</f>
        <v>36</v>
      </c>
      <c r="O31" s="7" t="n">
        <f aca="false">(K31="")+(L31="")+(M31="")+(N31="")</f>
        <v>0</v>
      </c>
      <c r="P31" s="7" t="str">
        <f aca="false">IF(O31=0,"Complete",IF(O31=1,"Partial - 1 pillar defaulted","Limited - "&amp;O31&amp;" pillars defaulted"))</f>
        <v>Complete</v>
      </c>
      <c r="Q31" s="18" t="n">
        <f aca="false">$B$5*IF(K31="",$B$18,K31)+$B$6*IF(L31="",$B$18,L31)+$B$7*IF(M31="",$B$18,M31)+$B$8*IF(N31="",$B$18,N31)</f>
        <v>50.3127801120448</v>
      </c>
      <c r="R31" s="16" t="n">
        <f aca="false">IF(INDEX('Supplier Universe &amp; Risk'!$U$4:$U$33,MATCH($A31,'Supplier Universe &amp; Risk'!$A$4:$A$33,0))="","",INDEX('Supplier Universe &amp; Risk'!$U$4:$U$33,MATCH($A31,'Supplier Universe &amp; Risk'!$A$4:$A$33,0)))</f>
        <v>79</v>
      </c>
      <c r="S31" s="17" t="str">
        <f aca="false">IF(INDEX('Supplier Universe &amp; Risk'!$V$4:$V$33,MATCH($A31,'Supplier Universe &amp; Risk'!$A$4:$A$33,0))="","",INDEX('Supplier Universe &amp; Risk'!$V$4:$V$33,MATCH($A31,'Supplier Universe &amp; Risk'!$A$4:$A$33,0)))</f>
        <v>CRITICAL</v>
      </c>
      <c r="T31" s="19" t="n">
        <f aca="false">R31-Q31</f>
        <v>28.6872198879552</v>
      </c>
      <c r="U31" s="7" t="n">
        <f aca="false">RANK(R31,$R$23:$R$46)</f>
        <v>2</v>
      </c>
      <c r="V31" s="7" t="n">
        <f aca="false">RANK(Q31,$Q$23:$Q$46)</f>
        <v>5</v>
      </c>
    </row>
    <row r="32" customFormat="false" ht="18" hidden="false" customHeight="true" outlineLevel="0" collapsed="false">
      <c r="A32" s="6" t="s">
        <v>198</v>
      </c>
      <c r="B32" s="6" t="s">
        <v>199</v>
      </c>
      <c r="C32" s="20" t="n">
        <f aca="false">IF(INDEX('Supplier Universe &amp; Risk'!$M$4:$M$33,MATCH($A32,'Supplier Universe &amp; Risk'!$A$4:$A$33,0))="","",INDEX('Supplier Universe &amp; Risk'!$M$4:$M$33,MATCH($A32,'Supplier Universe &amp; Risk'!$A$4:$A$33,0)))</f>
        <v>1.55</v>
      </c>
      <c r="D32" s="20" t="n">
        <f aca="false">IF(INDEX('Supplier Universe &amp; Risk'!$N$4:$N$33,MATCH($A32,'Supplier Universe &amp; Risk'!$A$4:$A$33,0))="","",INDEX('Supplier Universe &amp; Risk'!$N$4:$N$33,MATCH($A32,'Supplier Universe &amp; Risk'!$A$4:$A$33,0)))</f>
        <v>3.1</v>
      </c>
      <c r="E32" s="21" t="n">
        <f aca="false">IF(INDEX('Supplier Universe &amp; Risk'!$O$4:$O$33,MATCH($A32,'Supplier Universe &amp; Risk'!$A$4:$A$33,0))="","",INDEX('Supplier Universe &amp; Risk'!$O$4:$O$33,MATCH($A32,'Supplier Universe &amp; Risk'!$A$4:$A$33,0)))</f>
        <v>86.6</v>
      </c>
      <c r="F32" s="21" t="n">
        <f aca="false">IF(INDEX('Supplier Universe &amp; Risk'!$P$4:$P$33,MATCH($A32,'Supplier Universe &amp; Risk'!$A$4:$A$33,0))="","",INDEX('Supplier Universe &amp; Risk'!$P$4:$P$33,MATCH($A32,'Supplier Universe &amp; Risk'!$A$4:$A$33,0)))</f>
        <v>-6.4</v>
      </c>
      <c r="G32" s="22" t="n">
        <f aca="false">IF(INDEX('Supplier Universe &amp; Risk'!$Q$4:$Q$33,MATCH($A32,'Supplier Universe &amp; Risk'!$A$4:$A$33,0))="","",INDEX('Supplier Universe &amp; Risk'!$Q$4:$Q$33,MATCH($A32,'Supplier Universe &amp; Risk'!$A$4:$A$33,0)))</f>
        <v>45</v>
      </c>
      <c r="H32" s="22" t="n">
        <f aca="false">IF(INDEX('Supplier Universe &amp; Risk'!$R$4:$R$33,MATCH($A32,'Supplier Universe &amp; Risk'!$A$4:$A$33,0))="","",INDEX('Supplier Universe &amp; Risk'!$R$4:$R$33,MATCH($A32,'Supplier Universe &amp; Risk'!$A$4:$A$33,0)))</f>
        <v>82</v>
      </c>
      <c r="I32" s="22" t="n">
        <f aca="false">IF(INDEX('Supplier Universe &amp; Risk'!$S$4:$S$33,MATCH($A32,'Supplier Universe &amp; Risk'!$A$4:$A$33,0))="","",INDEX('Supplier Universe &amp; Risk'!$S$4:$S$33,MATCH($A32,'Supplier Universe &amp; Risk'!$A$4:$A$33,0)))</f>
        <v>76</v>
      </c>
      <c r="J32" s="22" t="n">
        <f aca="false">IF(INDEX('Supplier Universe &amp; Risk'!$T$4:$T$33,MATCH($A32,'Supplier Universe &amp; Risk'!$A$4:$A$33,0))="","",INDEX('Supplier Universe &amp; Risk'!$T$4:$T$33,MATCH($A32,'Supplier Universe &amp; Risk'!$A$4:$A$33,0)))</f>
        <v>71</v>
      </c>
      <c r="K32" s="23" t="n">
        <f aca="false">IF(OR(C32="",D32=""),"",(MAX(0,MIN(1,($B$10-C32)/($B$10-$B$11)))*100+MAX(0,MIN(1,(D32-$B$12)/($B$13-$B$12)))*100)/2)</f>
        <v>45.4411764705882</v>
      </c>
      <c r="L32" s="23" t="n">
        <f aca="false">IF(OR(E32="",F32=""),"",(MAX(0,MIN(1,($B$14-E32)/($B$14-$B$15)))*100+MAX(0,MIN(1,($B$16-F32)/($B$16-$B$17)))*100)/2)</f>
        <v>39.2559523809524</v>
      </c>
      <c r="M32" s="23" t="n">
        <f aca="false">IF(COUNT(H32:J32)=3,AVERAGE(H32:J32),"")</f>
        <v>76.3333333333333</v>
      </c>
      <c r="N32" s="23" t="n">
        <f aca="false">IF(G32="","",G32)</f>
        <v>45</v>
      </c>
      <c r="O32" s="6" t="n">
        <f aca="false">(K32="")+(L32="")+(M32="")+(N32="")</f>
        <v>0</v>
      </c>
      <c r="P32" s="6" t="str">
        <f aca="false">IF(O32=0,"Complete",IF(O32=1,"Partial - 1 pillar defaulted","Limited - "&amp;O32&amp;" pillars defaulted"))</f>
        <v>Complete</v>
      </c>
      <c r="Q32" s="23" t="n">
        <f aca="false">$B$5*IF(K32="",$B$18,K32)+$B$6*IF(L32="",$B$18,L32)+$B$7*IF(M32="",$B$18,M32)+$B$8*IF(N32="",$B$18,N32)</f>
        <v>53.0963410364146</v>
      </c>
      <c r="R32" s="21" t="n">
        <f aca="false">IF(INDEX('Supplier Universe &amp; Risk'!$U$4:$U$33,MATCH($A32,'Supplier Universe &amp; Risk'!$A$4:$A$33,0))="","",INDEX('Supplier Universe &amp; Risk'!$U$4:$U$33,MATCH($A32,'Supplier Universe &amp; Risk'!$A$4:$A$33,0)))</f>
        <v>79</v>
      </c>
      <c r="S32" s="22" t="str">
        <f aca="false">IF(INDEX('Supplier Universe &amp; Risk'!$V$4:$V$33,MATCH($A32,'Supplier Universe &amp; Risk'!$A$4:$A$33,0))="","",INDEX('Supplier Universe &amp; Risk'!$V$4:$V$33,MATCH($A32,'Supplier Universe &amp; Risk'!$A$4:$A$33,0)))</f>
        <v>CRITICAL</v>
      </c>
      <c r="T32" s="24" t="n">
        <f aca="false">R32-Q32</f>
        <v>25.9036589635854</v>
      </c>
      <c r="U32" s="6" t="n">
        <f aca="false">RANK(R32,$R$23:$R$46)</f>
        <v>2</v>
      </c>
      <c r="V32" s="6" t="n">
        <f aca="false">RANK(Q32,$Q$23:$Q$46)</f>
        <v>4</v>
      </c>
    </row>
    <row r="33" customFormat="false" ht="18" hidden="false" customHeight="true" outlineLevel="0" collapsed="false">
      <c r="A33" s="7" t="s">
        <v>203</v>
      </c>
      <c r="B33" s="7" t="s">
        <v>204</v>
      </c>
      <c r="C33" s="15" t="n">
        <f aca="false">IF(INDEX('Supplier Universe &amp; Risk'!$M$4:$M$33,MATCH($A33,'Supplier Universe &amp; Risk'!$A$4:$A$33,0))="","",INDEX('Supplier Universe &amp; Risk'!$M$4:$M$33,MATCH($A33,'Supplier Universe &amp; Risk'!$A$4:$A$33,0)))</f>
        <v>1.86</v>
      </c>
      <c r="D33" s="15" t="n">
        <f aca="false">IF(INDEX('Supplier Universe &amp; Risk'!$N$4:$N$33,MATCH($A33,'Supplier Universe &amp; Risk'!$A$4:$A$33,0))="","",INDEX('Supplier Universe &amp; Risk'!$N$4:$N$33,MATCH($A33,'Supplier Universe &amp; Risk'!$A$4:$A$33,0)))</f>
        <v>2</v>
      </c>
      <c r="E33" s="16" t="n">
        <f aca="false">IF(INDEX('Supplier Universe &amp; Risk'!$O$4:$O$33,MATCH($A33,'Supplier Universe &amp; Risk'!$A$4:$A$33,0))="","",INDEX('Supplier Universe &amp; Risk'!$O$4:$O$33,MATCH($A33,'Supplier Universe &amp; Risk'!$A$4:$A$33,0)))</f>
        <v>87.3</v>
      </c>
      <c r="F33" s="16" t="n">
        <f aca="false">IF(INDEX('Supplier Universe &amp; Risk'!$P$4:$P$33,MATCH($A33,'Supplier Universe &amp; Risk'!$A$4:$A$33,0))="","",INDEX('Supplier Universe &amp; Risk'!$P$4:$P$33,MATCH($A33,'Supplier Universe &amp; Risk'!$A$4:$A$33,0)))</f>
        <v>1.6</v>
      </c>
      <c r="G33" s="17" t="n">
        <f aca="false">IF(INDEX('Supplier Universe &amp; Risk'!$Q$4:$Q$33,MATCH($A33,'Supplier Universe &amp; Risk'!$A$4:$A$33,0))="","",INDEX('Supplier Universe &amp; Risk'!$Q$4:$Q$33,MATCH($A33,'Supplier Universe &amp; Risk'!$A$4:$A$33,0)))</f>
        <v>54</v>
      </c>
      <c r="H33" s="17" t="n">
        <f aca="false">IF(INDEX('Supplier Universe &amp; Risk'!$R$4:$R$33,MATCH($A33,'Supplier Universe &amp; Risk'!$A$4:$A$33,0))="","",INDEX('Supplier Universe &amp; Risk'!$R$4:$R$33,MATCH($A33,'Supplier Universe &amp; Risk'!$A$4:$A$33,0)))</f>
        <v>31</v>
      </c>
      <c r="I33" s="17" t="n">
        <f aca="false">IF(INDEX('Supplier Universe &amp; Risk'!$S$4:$S$33,MATCH($A33,'Supplier Universe &amp; Risk'!$A$4:$A$33,0))="","",INDEX('Supplier Universe &amp; Risk'!$S$4:$S$33,MATCH($A33,'Supplier Universe &amp; Risk'!$A$4:$A$33,0)))</f>
        <v>23</v>
      </c>
      <c r="J33" s="17" t="n">
        <f aca="false">IF(INDEX('Supplier Universe &amp; Risk'!$T$4:$T$33,MATCH($A33,'Supplier Universe &amp; Risk'!$A$4:$A$33,0))="","",INDEX('Supplier Universe &amp; Risk'!$T$4:$T$33,MATCH($A33,'Supplier Universe &amp; Risk'!$A$4:$A$33,0)))</f>
        <v>19</v>
      </c>
      <c r="K33" s="18" t="n">
        <f aca="false">IF(OR(C33="",D33=""),"",(MAX(0,MIN(1,($B$10-C33)/($B$10-$B$11)))*100+MAX(0,MIN(1,(D33-$B$12)/($B$13-$B$12)))*100)/2)</f>
        <v>27.156862745098</v>
      </c>
      <c r="L33" s="18" t="n">
        <f aca="false">IF(OR(E33="",F33=""),"",(MAX(0,MIN(1,($B$14-E33)/($B$14-$B$15)))*100+MAX(0,MIN(1,($B$16-F33)/($B$16-$B$17)))*100)/2)</f>
        <v>18.0208333333333</v>
      </c>
      <c r="M33" s="18" t="n">
        <f aca="false">IF(COUNT(H33:J33)=3,AVERAGE(H33:J33),"")</f>
        <v>24.3333333333333</v>
      </c>
      <c r="N33" s="18" t="n">
        <f aca="false">IF(G33="","",G33)</f>
        <v>54</v>
      </c>
      <c r="O33" s="7" t="n">
        <f aca="false">(K33="")+(L33="")+(M33="")+(N33="")</f>
        <v>0</v>
      </c>
      <c r="P33" s="7" t="str">
        <f aca="false">IF(O33=0,"Complete",IF(O33=1,"Partial - 1 pillar defaulted","Limited - "&amp;O33&amp;" pillars defaulted"))</f>
        <v>Complete</v>
      </c>
      <c r="Q33" s="18" t="n">
        <f aca="false">$B$5*IF(K33="",$B$18,K33)+$B$6*IF(L33="",$B$18,L33)+$B$7*IF(M33="",$B$18,M33)+$B$8*IF(N33="",$B$18,N33)</f>
        <v>28.0522671568627</v>
      </c>
      <c r="R33" s="16" t="n">
        <f aca="false">IF(INDEX('Supplier Universe &amp; Risk'!$U$4:$U$33,MATCH($A33,'Supplier Universe &amp; Risk'!$A$4:$A$33,0))="","",INDEX('Supplier Universe &amp; Risk'!$U$4:$U$33,MATCH($A33,'Supplier Universe &amp; Risk'!$A$4:$A$33,0)))</f>
        <v>57.2</v>
      </c>
      <c r="S33" s="17" t="str">
        <f aca="false">IF(INDEX('Supplier Universe &amp; Risk'!$V$4:$V$33,MATCH($A33,'Supplier Universe &amp; Risk'!$A$4:$A$33,0))="","",INDEX('Supplier Universe &amp; Risk'!$V$4:$V$33,MATCH($A33,'Supplier Universe &amp; Risk'!$A$4:$A$33,0)))</f>
        <v>MEDIUM</v>
      </c>
      <c r="T33" s="19" t="n">
        <f aca="false">R33-Q33</f>
        <v>29.1477328431373</v>
      </c>
      <c r="U33" s="7" t="n">
        <f aca="false">RANK(R33,$R$23:$R$46)</f>
        <v>15</v>
      </c>
      <c r="V33" s="7" t="n">
        <f aca="false">RANK(Q33,$Q$23:$Q$46)</f>
        <v>20</v>
      </c>
    </row>
    <row r="34" customFormat="false" ht="18" hidden="false" customHeight="true" outlineLevel="0" collapsed="false">
      <c r="A34" s="6" t="s">
        <v>208</v>
      </c>
      <c r="B34" s="6" t="s">
        <v>209</v>
      </c>
      <c r="C34" s="20" t="n">
        <f aca="false">IF(INDEX('Supplier Universe &amp; Risk'!$M$4:$M$33,MATCH($A34,'Supplier Universe &amp; Risk'!$A$4:$A$33,0))="","",INDEX('Supplier Universe &amp; Risk'!$M$4:$M$33,MATCH($A34,'Supplier Universe &amp; Risk'!$A$4:$A$33,0)))</f>
        <v>1.37</v>
      </c>
      <c r="D34" s="20" t="n">
        <f aca="false">IF(INDEX('Supplier Universe &amp; Risk'!$N$4:$N$33,MATCH($A34,'Supplier Universe &amp; Risk'!$A$4:$A$33,0))="","",INDEX('Supplier Universe &amp; Risk'!$N$4:$N$33,MATCH($A34,'Supplier Universe &amp; Risk'!$A$4:$A$33,0)))</f>
        <v>3</v>
      </c>
      <c r="E34" s="21" t="n">
        <f aca="false">IF(INDEX('Supplier Universe &amp; Risk'!$O$4:$O$33,MATCH($A34,'Supplier Universe &amp; Risk'!$A$4:$A$33,0))="","",INDEX('Supplier Universe &amp; Risk'!$O$4:$O$33,MATCH($A34,'Supplier Universe &amp; Risk'!$A$4:$A$33,0)))</f>
        <v>89.5</v>
      </c>
      <c r="F34" s="21" t="n">
        <f aca="false">IF(INDEX('Supplier Universe &amp; Risk'!$P$4:$P$33,MATCH($A34,'Supplier Universe &amp; Risk'!$A$4:$A$33,0))="","",INDEX('Supplier Universe &amp; Risk'!$P$4:$P$33,MATCH($A34,'Supplier Universe &amp; Risk'!$A$4:$A$33,0)))</f>
        <v>-0.6</v>
      </c>
      <c r="G34" s="22" t="n">
        <f aca="false">IF(INDEX('Supplier Universe &amp; Risk'!$Q$4:$Q$33,MATCH($A34,'Supplier Universe &amp; Risk'!$A$4:$A$33,0))="","",INDEX('Supplier Universe &amp; Risk'!$Q$4:$Q$33,MATCH($A34,'Supplier Universe &amp; Risk'!$A$4:$A$33,0)))</f>
        <v>63</v>
      </c>
      <c r="H34" s="22" t="n">
        <f aca="false">IF(INDEX('Supplier Universe &amp; Risk'!$R$4:$R$33,MATCH($A34,'Supplier Universe &amp; Risk'!$A$4:$A$33,0))="","",INDEX('Supplier Universe &amp; Risk'!$R$4:$R$33,MATCH($A34,'Supplier Universe &amp; Risk'!$A$4:$A$33,0)))</f>
        <v>58</v>
      </c>
      <c r="I34" s="22" t="n">
        <f aca="false">IF(INDEX('Supplier Universe &amp; Risk'!$S$4:$S$33,MATCH($A34,'Supplier Universe &amp; Risk'!$A$4:$A$33,0))="","",INDEX('Supplier Universe &amp; Risk'!$S$4:$S$33,MATCH($A34,'Supplier Universe &amp; Risk'!$A$4:$A$33,0)))</f>
        <v>62</v>
      </c>
      <c r="J34" s="22" t="n">
        <f aca="false">IF(INDEX('Supplier Universe &amp; Risk'!$T$4:$T$33,MATCH($A34,'Supplier Universe &amp; Risk'!$A$4:$A$33,0))="","",INDEX('Supplier Universe &amp; Risk'!$T$4:$T$33,MATCH($A34,'Supplier Universe &amp; Risk'!$A$4:$A$33,0)))</f>
        <v>52</v>
      </c>
      <c r="K34" s="23" t="n">
        <f aca="false">IF(OR(C34="",D34=""),"",(MAX(0,MIN(1,($B$10-C34)/($B$10-$B$11)))*100+MAX(0,MIN(1,(D34-$B$12)/($B$13-$B$12)))*100)/2)</f>
        <v>49.9019607843137</v>
      </c>
      <c r="L34" s="23" t="n">
        <f aca="false">IF(OR(E34="",F34=""),"",(MAX(0,MIN(1,($B$14-E34)/($B$14-$B$15)))*100+MAX(0,MIN(1,($B$16-F34)/($B$16-$B$17)))*100)/2)</f>
        <v>16.3839285714286</v>
      </c>
      <c r="M34" s="23" t="n">
        <f aca="false">IF(COUNT(H34:J34)=3,AVERAGE(H34:J34),"")</f>
        <v>57.3333333333333</v>
      </c>
      <c r="N34" s="23" t="n">
        <f aca="false">IF(G34="","",G34)</f>
        <v>63</v>
      </c>
      <c r="O34" s="6" t="n">
        <f aca="false">(K34="")+(L34="")+(M34="")+(N34="")</f>
        <v>0</v>
      </c>
      <c r="P34" s="6" t="str">
        <f aca="false">IF(O34=0,"Complete",IF(O34=1,"Partial - 1 pillar defaulted","Limited - "&amp;O34&amp;" pillars defaulted"))</f>
        <v>Complete</v>
      </c>
      <c r="Q34" s="23" t="n">
        <f aca="false">$B$5*IF(K34="",$B$18,K34)+$B$6*IF(L34="",$B$18,L34)+$B$7*IF(M34="",$B$18,M34)+$B$8*IF(N34="",$B$18,N34)</f>
        <v>45.7165703781513</v>
      </c>
      <c r="R34" s="21" t="n">
        <f aca="false">IF(INDEX('Supplier Universe &amp; Risk'!$U$4:$U$33,MATCH($A34,'Supplier Universe &amp; Risk'!$A$4:$A$33,0))="","",INDEX('Supplier Universe &amp; Risk'!$U$4:$U$33,MATCH($A34,'Supplier Universe &amp; Risk'!$A$4:$A$33,0)))</f>
        <v>69.4</v>
      </c>
      <c r="S34" s="22" t="str">
        <f aca="false">IF(INDEX('Supplier Universe &amp; Risk'!$V$4:$V$33,MATCH($A34,'Supplier Universe &amp; Risk'!$A$4:$A$33,0))="","",INDEX('Supplier Universe &amp; Risk'!$V$4:$V$33,MATCH($A34,'Supplier Universe &amp; Risk'!$A$4:$A$33,0)))</f>
        <v>HIGH</v>
      </c>
      <c r="T34" s="24" t="n">
        <f aca="false">R34-Q34</f>
        <v>23.6834296218487</v>
      </c>
      <c r="U34" s="6" t="n">
        <f aca="false">RANK(R34,$R$23:$R$46)</f>
        <v>6</v>
      </c>
      <c r="V34" s="6" t="n">
        <f aca="false">RANK(Q34,$Q$23:$Q$46)</f>
        <v>8</v>
      </c>
    </row>
    <row r="35" customFormat="false" ht="18" hidden="false" customHeight="true" outlineLevel="0" collapsed="false">
      <c r="A35" s="7" t="s">
        <v>213</v>
      </c>
      <c r="B35" s="7" t="s">
        <v>214</v>
      </c>
      <c r="C35" s="15" t="n">
        <f aca="false">IF(INDEX('Supplier Universe &amp; Risk'!$M$4:$M$33,MATCH($A35,'Supplier Universe &amp; Risk'!$A$4:$A$33,0))="","",INDEX('Supplier Universe &amp; Risk'!$M$4:$M$33,MATCH($A35,'Supplier Universe &amp; Risk'!$A$4:$A$33,0)))</f>
        <v>0.62</v>
      </c>
      <c r="D35" s="15" t="n">
        <f aca="false">IF(INDEX('Supplier Universe &amp; Risk'!$N$4:$N$33,MATCH($A35,'Supplier Universe &amp; Risk'!$A$4:$A$33,0))="","",INDEX('Supplier Universe &amp; Risk'!$N$4:$N$33,MATCH($A35,'Supplier Universe &amp; Risk'!$A$4:$A$33,0)))</f>
        <v>7.2</v>
      </c>
      <c r="E35" s="16" t="n">
        <f aca="false">IF(INDEX('Supplier Universe &amp; Risk'!$O$4:$O$33,MATCH($A35,'Supplier Universe &amp; Risk'!$A$4:$A$33,0))="","",INDEX('Supplier Universe &amp; Risk'!$O$4:$O$33,MATCH($A35,'Supplier Universe &amp; Risk'!$A$4:$A$33,0)))</f>
        <v>76.4</v>
      </c>
      <c r="F35" s="16" t="n">
        <f aca="false">IF(INDEX('Supplier Universe &amp; Risk'!$P$4:$P$33,MATCH($A35,'Supplier Universe &amp; Risk'!$A$4:$A$33,0))="","",INDEX('Supplier Universe &amp; Risk'!$P$4:$P$33,MATCH($A35,'Supplier Universe &amp; Risk'!$A$4:$A$33,0)))</f>
        <v>-17.6</v>
      </c>
      <c r="G35" s="17" t="n">
        <f aca="false">IF(INDEX('Supplier Universe &amp; Risk'!$Q$4:$Q$33,MATCH($A35,'Supplier Universe &amp; Risk'!$A$4:$A$33,0))="","",INDEX('Supplier Universe &amp; Risk'!$Q$4:$Q$33,MATCH($A35,'Supplier Universe &amp; Risk'!$A$4:$A$33,0)))</f>
        <v>72</v>
      </c>
      <c r="H35" s="17" t="n">
        <f aca="false">IF(INDEX('Supplier Universe &amp; Risk'!$R$4:$R$33,MATCH($A35,'Supplier Universe &amp; Risk'!$A$4:$A$33,0))="","",INDEX('Supplier Universe &amp; Risk'!$R$4:$R$33,MATCH($A35,'Supplier Universe &amp; Risk'!$A$4:$A$33,0)))</f>
        <v>19</v>
      </c>
      <c r="I35" s="17" t="n">
        <f aca="false">IF(INDEX('Supplier Universe &amp; Risk'!$S$4:$S$33,MATCH($A35,'Supplier Universe &amp; Risk'!$A$4:$A$33,0))="","",INDEX('Supplier Universe &amp; Risk'!$S$4:$S$33,MATCH($A35,'Supplier Universe &amp; Risk'!$A$4:$A$33,0)))</f>
        <v>26</v>
      </c>
      <c r="J35" s="17" t="n">
        <f aca="false">IF(INDEX('Supplier Universe &amp; Risk'!$T$4:$T$33,MATCH($A35,'Supplier Universe &amp; Risk'!$A$4:$A$33,0))="","",INDEX('Supplier Universe &amp; Risk'!$T$4:$T$33,MATCH($A35,'Supplier Universe &amp; Risk'!$A$4:$A$33,0)))</f>
        <v>25</v>
      </c>
      <c r="K35" s="18" t="n">
        <f aca="false">IF(OR(C35="",D35=""),"",(MAX(0,MIN(1,($B$10-C35)/($B$10-$B$11)))*100+MAX(0,MIN(1,(D35-$B$12)/($B$13-$B$12)))*100)/2)</f>
        <v>100</v>
      </c>
      <c r="L35" s="18" t="n">
        <f aca="false">IF(OR(E35="",F35=""),"",(MAX(0,MIN(1,($B$14-E35)/($B$14-$B$15)))*100+MAX(0,MIN(1,($B$16-F35)/($B$16-$B$17)))*100)/2)</f>
        <v>97.797619047619</v>
      </c>
      <c r="M35" s="18" t="n">
        <f aca="false">IF(COUNT(H35:J35)=3,AVERAGE(H35:J35),"")</f>
        <v>23.3333333333333</v>
      </c>
      <c r="N35" s="18" t="n">
        <f aca="false">IF(G35="","",G35)</f>
        <v>72</v>
      </c>
      <c r="O35" s="7" t="n">
        <f aca="false">(K35="")+(L35="")+(M35="")+(N35="")</f>
        <v>0</v>
      </c>
      <c r="P35" s="7" t="str">
        <f aca="false">IF(O35=0,"Complete",IF(O35=1,"Partial - 1 pillar defaulted","Limited - "&amp;O35&amp;" pillars defaulted"))</f>
        <v>Complete</v>
      </c>
      <c r="Q35" s="18" t="n">
        <f aca="false">$B$5*IF(K35="",$B$18,K35)+$B$6*IF(L35="",$B$18,L35)+$B$7*IF(M35="",$B$18,M35)+$B$8*IF(N35="",$B$18,N35)</f>
        <v>72.2494047619048</v>
      </c>
      <c r="R35" s="16" t="n">
        <f aca="false">IF(INDEX('Supplier Universe &amp; Risk'!$U$4:$U$33,MATCH($A35,'Supplier Universe &amp; Risk'!$A$4:$A$33,0))="","",INDEX('Supplier Universe &amp; Risk'!$U$4:$U$33,MATCH($A35,'Supplier Universe &amp; Risk'!$A$4:$A$33,0)))</f>
        <v>83.7</v>
      </c>
      <c r="S35" s="17" t="str">
        <f aca="false">IF(INDEX('Supplier Universe &amp; Risk'!$V$4:$V$33,MATCH($A35,'Supplier Universe &amp; Risk'!$A$4:$A$33,0))="","",INDEX('Supplier Universe &amp; Risk'!$V$4:$V$33,MATCH($A35,'Supplier Universe &amp; Risk'!$A$4:$A$33,0)))</f>
        <v>CRITICAL</v>
      </c>
      <c r="T35" s="19" t="n">
        <f aca="false">R35-Q35</f>
        <v>11.4505952380952</v>
      </c>
      <c r="U35" s="7" t="n">
        <f aca="false">RANK(R35,$R$23:$R$46)</f>
        <v>1</v>
      </c>
      <c r="V35" s="7" t="n">
        <f aca="false">RANK(Q35,$Q$23:$Q$46)</f>
        <v>1</v>
      </c>
    </row>
    <row r="36" customFormat="false" ht="18" hidden="false" customHeight="true" outlineLevel="0" collapsed="false">
      <c r="A36" s="6" t="s">
        <v>218</v>
      </c>
      <c r="B36" s="6" t="s">
        <v>219</v>
      </c>
      <c r="C36" s="20" t="n">
        <f aca="false">IF(INDEX('Supplier Universe &amp; Risk'!$M$4:$M$33,MATCH($A36,'Supplier Universe &amp; Risk'!$A$4:$A$33,0))="","",INDEX('Supplier Universe &amp; Risk'!$M$4:$M$33,MATCH($A36,'Supplier Universe &amp; Risk'!$A$4:$A$33,0)))</f>
        <v>1.54</v>
      </c>
      <c r="D36" s="20" t="n">
        <f aca="false">IF(INDEX('Supplier Universe &amp; Risk'!$N$4:$N$33,MATCH($A36,'Supplier Universe &amp; Risk'!$A$4:$A$33,0))="","",INDEX('Supplier Universe &amp; Risk'!$N$4:$N$33,MATCH($A36,'Supplier Universe &amp; Risk'!$A$4:$A$33,0)))</f>
        <v>1.67</v>
      </c>
      <c r="E36" s="21" t="n">
        <f aca="false">IF(INDEX('Supplier Universe &amp; Risk'!$O$4:$O$33,MATCH($A36,'Supplier Universe &amp; Risk'!$A$4:$A$33,0))="","",INDEX('Supplier Universe &amp; Risk'!$O$4:$O$33,MATCH($A36,'Supplier Universe &amp; Risk'!$A$4:$A$33,0)))</f>
        <v>79.3</v>
      </c>
      <c r="F36" s="21" t="n">
        <f aca="false">IF(INDEX('Supplier Universe &amp; Risk'!$P$4:$P$33,MATCH($A36,'Supplier Universe &amp; Risk'!$A$4:$A$33,0))="","",INDEX('Supplier Universe &amp; Risk'!$P$4:$P$33,MATCH($A36,'Supplier Universe &amp; Risk'!$A$4:$A$33,0)))</f>
        <v>-3.5</v>
      </c>
      <c r="G36" s="22" t="n">
        <f aca="false">IF(INDEX('Supplier Universe &amp; Risk'!$Q$4:$Q$33,MATCH($A36,'Supplier Universe &amp; Risk'!$A$4:$A$33,0))="","",INDEX('Supplier Universe &amp; Risk'!$Q$4:$Q$33,MATCH($A36,'Supplier Universe &amp; Risk'!$A$4:$A$33,0)))</f>
        <v>21</v>
      </c>
      <c r="H36" s="22" t="n">
        <f aca="false">IF(INDEX('Supplier Universe &amp; Risk'!$R$4:$R$33,MATCH($A36,'Supplier Universe &amp; Risk'!$A$4:$A$33,0))="","",INDEX('Supplier Universe &amp; Risk'!$R$4:$R$33,MATCH($A36,'Supplier Universe &amp; Risk'!$A$4:$A$33,0)))</f>
        <v>67</v>
      </c>
      <c r="I36" s="22" t="n">
        <f aca="false">IF(INDEX('Supplier Universe &amp; Risk'!$S$4:$S$33,MATCH($A36,'Supplier Universe &amp; Risk'!$A$4:$A$33,0))="","",INDEX('Supplier Universe &amp; Risk'!$S$4:$S$33,MATCH($A36,'Supplier Universe &amp; Risk'!$A$4:$A$33,0)))</f>
        <v>59</v>
      </c>
      <c r="J36" s="22" t="n">
        <f aca="false">IF(INDEX('Supplier Universe &amp; Risk'!$T$4:$T$33,MATCH($A36,'Supplier Universe &amp; Risk'!$A$4:$A$33,0))="","",INDEX('Supplier Universe &amp; Risk'!$T$4:$T$33,MATCH($A36,'Supplier Universe &amp; Risk'!$A$4:$A$33,0)))</f>
        <v>54</v>
      </c>
      <c r="K36" s="23" t="n">
        <f aca="false">IF(OR(C36="",D36=""),"",(MAX(0,MIN(1,($B$10-C36)/($B$10-$B$11)))*100+MAX(0,MIN(1,(D36-$B$12)/($B$13-$B$12)))*100)/2)</f>
        <v>33.8186274509804</v>
      </c>
      <c r="L36" s="23" t="n">
        <f aca="false">IF(OR(E36="",F36=""),"",(MAX(0,MIN(1,($B$14-E36)/($B$14-$B$15)))*100+MAX(0,MIN(1,($B$16-F36)/($B$16-$B$17)))*100)/2)</f>
        <v>55.1636904761905</v>
      </c>
      <c r="M36" s="23" t="n">
        <f aca="false">IF(COUNT(H36:J36)=3,AVERAGE(H36:J36),"")</f>
        <v>60</v>
      </c>
      <c r="N36" s="23" t="n">
        <f aca="false">IF(G36="","",G36)</f>
        <v>21</v>
      </c>
      <c r="O36" s="6" t="n">
        <f aca="false">(K36="")+(L36="")+(M36="")+(N36="")</f>
        <v>0</v>
      </c>
      <c r="P36" s="6" t="str">
        <f aca="false">IF(O36=0,"Complete",IF(O36=1,"Partial - 1 pillar defaulted","Limited - "&amp;O36&amp;" pillars defaulted"))</f>
        <v>Complete</v>
      </c>
      <c r="Q36" s="23" t="n">
        <f aca="false">$B$5*IF(K36="",$B$18,K36)+$B$6*IF(L36="",$B$18,L36)+$B$7*IF(M36="",$B$18,M36)+$B$8*IF(N36="",$B$18,N36)</f>
        <v>45.0865108543417</v>
      </c>
      <c r="R36" s="21" t="n">
        <f aca="false">IF(INDEX('Supplier Universe &amp; Risk'!$U$4:$U$33,MATCH($A36,'Supplier Universe &amp; Risk'!$A$4:$A$33,0))="","",INDEX('Supplier Universe &amp; Risk'!$U$4:$U$33,MATCH($A36,'Supplier Universe &amp; Risk'!$A$4:$A$33,0)))</f>
        <v>61.7</v>
      </c>
      <c r="S36" s="22" t="str">
        <f aca="false">IF(INDEX('Supplier Universe &amp; Risk'!$V$4:$V$33,MATCH($A36,'Supplier Universe &amp; Risk'!$A$4:$A$33,0))="","",INDEX('Supplier Universe &amp; Risk'!$V$4:$V$33,MATCH($A36,'Supplier Universe &amp; Risk'!$A$4:$A$33,0)))</f>
        <v>HIGH</v>
      </c>
      <c r="T36" s="24" t="n">
        <f aca="false">R36-Q36</f>
        <v>16.6134891456583</v>
      </c>
      <c r="U36" s="6" t="n">
        <f aca="false">RANK(R36,$R$23:$R$46)</f>
        <v>12</v>
      </c>
      <c r="V36" s="6" t="n">
        <f aca="false">RANK(Q36,$Q$23:$Q$46)</f>
        <v>9</v>
      </c>
    </row>
    <row r="37" customFormat="false" ht="18" hidden="false" customHeight="true" outlineLevel="0" collapsed="false">
      <c r="A37" s="7" t="s">
        <v>223</v>
      </c>
      <c r="B37" s="7" t="s">
        <v>224</v>
      </c>
      <c r="C37" s="15" t="n">
        <f aca="false">IF(INDEX('Supplier Universe &amp; Risk'!$M$4:$M$33,MATCH($A37,'Supplier Universe &amp; Risk'!$A$4:$A$33,0))="","",INDEX('Supplier Universe &amp; Risk'!$M$4:$M$33,MATCH($A37,'Supplier Universe &amp; Risk'!$A$4:$A$33,0)))</f>
        <v>2.29</v>
      </c>
      <c r="D37" s="15" t="n">
        <f aca="false">IF(INDEX('Supplier Universe &amp; Risk'!$N$4:$N$33,MATCH($A37,'Supplier Universe &amp; Risk'!$A$4:$A$33,0))="","",INDEX('Supplier Universe &amp; Risk'!$N$4:$N$33,MATCH($A37,'Supplier Universe &amp; Risk'!$A$4:$A$33,0)))</f>
        <v>2.67</v>
      </c>
      <c r="E37" s="16" t="n">
        <f aca="false">IF(INDEX('Supplier Universe &amp; Risk'!$O$4:$O$33,MATCH($A37,'Supplier Universe &amp; Risk'!$A$4:$A$33,0))="","",INDEX('Supplier Universe &amp; Risk'!$O$4:$O$33,MATCH($A37,'Supplier Universe &amp; Risk'!$A$4:$A$33,0)))</f>
        <v>82.2</v>
      </c>
      <c r="F37" s="16" t="n">
        <f aca="false">IF(INDEX('Supplier Universe &amp; Risk'!$P$4:$P$33,MATCH($A37,'Supplier Universe &amp; Risk'!$A$4:$A$33,0))="","",INDEX('Supplier Universe &amp; Risk'!$P$4:$P$33,MATCH($A37,'Supplier Universe &amp; Risk'!$A$4:$A$33,0)))</f>
        <v>0.7</v>
      </c>
      <c r="G37" s="17" t="n">
        <f aca="false">IF(INDEX('Supplier Universe &amp; Risk'!$Q$4:$Q$33,MATCH($A37,'Supplier Universe &amp; Risk'!$A$4:$A$33,0))="","",INDEX('Supplier Universe &amp; Risk'!$Q$4:$Q$33,MATCH($A37,'Supplier Universe &amp; Risk'!$A$4:$A$33,0)))</f>
        <v>30</v>
      </c>
      <c r="H37" s="17" t="n">
        <f aca="false">IF(INDEX('Supplier Universe &amp; Risk'!$R$4:$R$33,MATCH($A37,'Supplier Universe &amp; Risk'!$A$4:$A$33,0))="","",INDEX('Supplier Universe &amp; Risk'!$R$4:$R$33,MATCH($A37,'Supplier Universe &amp; Risk'!$A$4:$A$33,0)))</f>
        <v>82</v>
      </c>
      <c r="I37" s="17" t="n">
        <f aca="false">IF(INDEX('Supplier Universe &amp; Risk'!$S$4:$S$33,MATCH($A37,'Supplier Universe &amp; Risk'!$A$4:$A$33,0))="","",INDEX('Supplier Universe &amp; Risk'!$S$4:$S$33,MATCH($A37,'Supplier Universe &amp; Risk'!$A$4:$A$33,0)))</f>
        <v>76</v>
      </c>
      <c r="J37" s="17" t="n">
        <f aca="false">IF(INDEX('Supplier Universe &amp; Risk'!$T$4:$T$33,MATCH($A37,'Supplier Universe &amp; Risk'!$A$4:$A$33,0))="","",INDEX('Supplier Universe &amp; Risk'!$T$4:$T$33,MATCH($A37,'Supplier Universe &amp; Risk'!$A$4:$A$33,0)))</f>
        <v>71</v>
      </c>
      <c r="K37" s="18" t="n">
        <f aca="false">IF(OR(C37="",D37=""),"",(MAX(0,MIN(1,($B$10-C37)/($B$10-$B$11)))*100+MAX(0,MIN(1,(D37-$B$12)/($B$13-$B$12)))*100)/2)</f>
        <v>20.093137254902</v>
      </c>
      <c r="L37" s="18" t="n">
        <f aca="false">IF(OR(E37="",F37=""),"",(MAX(0,MIN(1,($B$14-E37)/($B$14-$B$15)))*100+MAX(0,MIN(1,($B$16-F37)/($B$16-$B$17)))*100)/2)</f>
        <v>36.1011904761905</v>
      </c>
      <c r="M37" s="18" t="n">
        <f aca="false">IF(COUNT(H37:J37)=3,AVERAGE(H37:J37),"")</f>
        <v>76.3333333333333</v>
      </c>
      <c r="N37" s="18" t="n">
        <f aca="false">IF(G37="","",G37)</f>
        <v>30</v>
      </c>
      <c r="O37" s="7" t="n">
        <f aca="false">(K37="")+(L37="")+(M37="")+(N37="")</f>
        <v>0</v>
      </c>
      <c r="P37" s="7" t="str">
        <f aca="false">IF(O37=0,"Complete",IF(O37=1,"Partial - 1 pillar defaulted","Limited - "&amp;O37&amp;" pillars defaulted"))</f>
        <v>Complete</v>
      </c>
      <c r="Q37" s="18" t="n">
        <f aca="false">$B$5*IF(K37="",$B$18,K37)+$B$6*IF(L37="",$B$18,L37)+$B$7*IF(M37="",$B$18,M37)+$B$8*IF(N37="",$B$18,N37)</f>
        <v>42.4532387955182</v>
      </c>
      <c r="R37" s="16" t="n">
        <f aca="false">IF(INDEX('Supplier Universe &amp; Risk'!$U$4:$U$33,MATCH($A37,'Supplier Universe &amp; Risk'!$A$4:$A$33,0))="","",INDEX('Supplier Universe &amp; Risk'!$U$4:$U$33,MATCH($A37,'Supplier Universe &amp; Risk'!$A$4:$A$33,0)))</f>
        <v>68.8</v>
      </c>
      <c r="S37" s="17" t="str">
        <f aca="false">IF(INDEX('Supplier Universe &amp; Risk'!$V$4:$V$33,MATCH($A37,'Supplier Universe &amp; Risk'!$A$4:$A$33,0))="","",INDEX('Supplier Universe &amp; Risk'!$V$4:$V$33,MATCH($A37,'Supplier Universe &amp; Risk'!$A$4:$A$33,0)))</f>
        <v>HIGH</v>
      </c>
      <c r="T37" s="19" t="n">
        <f aca="false">R37-Q37</f>
        <v>26.3467612044818</v>
      </c>
      <c r="U37" s="7" t="n">
        <f aca="false">RANK(R37,$R$23:$R$46)</f>
        <v>8</v>
      </c>
      <c r="V37" s="7" t="n">
        <f aca="false">RANK(Q37,$Q$23:$Q$46)</f>
        <v>12</v>
      </c>
    </row>
    <row r="38" customFormat="false" ht="18" hidden="false" customHeight="true" outlineLevel="0" collapsed="false">
      <c r="A38" s="6" t="s">
        <v>228</v>
      </c>
      <c r="B38" s="6" t="s">
        <v>229</v>
      </c>
      <c r="C38" s="20" t="n">
        <f aca="false">IF(INDEX('Supplier Universe &amp; Risk'!$M$4:$M$33,MATCH($A38,'Supplier Universe &amp; Risk'!$A$4:$A$33,0))="","",INDEX('Supplier Universe &amp; Risk'!$M$4:$M$33,MATCH($A38,'Supplier Universe &amp; Risk'!$A$4:$A$33,0)))</f>
        <v>1.79</v>
      </c>
      <c r="D38" s="20" t="n">
        <f aca="false">IF(INDEX('Supplier Universe &amp; Risk'!$N$4:$N$33,MATCH($A38,'Supplier Universe &amp; Risk'!$A$4:$A$33,0))="","",INDEX('Supplier Universe &amp; Risk'!$N$4:$N$33,MATCH($A38,'Supplier Universe &amp; Risk'!$A$4:$A$33,0)))</f>
        <v>3.67</v>
      </c>
      <c r="E38" s="21" t="n">
        <f aca="false">IF(INDEX('Supplier Universe &amp; Risk'!$O$4:$O$33,MATCH($A38,'Supplier Universe &amp; Risk'!$A$4:$A$33,0))="","",INDEX('Supplier Universe &amp; Risk'!$O$4:$O$33,MATCH($A38,'Supplier Universe &amp; Risk'!$A$4:$A$33,0)))</f>
        <v>85.6</v>
      </c>
      <c r="F38" s="21" t="n">
        <f aca="false">IF(INDEX('Supplier Universe &amp; Risk'!$P$4:$P$33,MATCH($A38,'Supplier Universe &amp; Risk'!$A$4:$A$33,0))="","",INDEX('Supplier Universe &amp; Risk'!$P$4:$P$33,MATCH($A38,'Supplier Universe &amp; Risk'!$A$4:$A$33,0)))</f>
        <v>0.8</v>
      </c>
      <c r="G38" s="22" t="n">
        <f aca="false">IF(INDEX('Supplier Universe &amp; Risk'!$Q$4:$Q$33,MATCH($A38,'Supplier Universe &amp; Risk'!$A$4:$A$33,0))="","",INDEX('Supplier Universe &amp; Risk'!$Q$4:$Q$33,MATCH($A38,'Supplier Universe &amp; Risk'!$A$4:$A$33,0)))</f>
        <v>39</v>
      </c>
      <c r="H38" s="22" t="n">
        <f aca="false">IF(INDEX('Supplier Universe &amp; Risk'!$R$4:$R$33,MATCH($A38,'Supplier Universe &amp; Risk'!$A$4:$A$33,0))="","",INDEX('Supplier Universe &amp; Risk'!$R$4:$R$33,MATCH($A38,'Supplier Universe &amp; Risk'!$A$4:$A$33,0)))</f>
        <v>67</v>
      </c>
      <c r="I38" s="22" t="n">
        <f aca="false">IF(INDEX('Supplier Universe &amp; Risk'!$S$4:$S$33,MATCH($A38,'Supplier Universe &amp; Risk'!$A$4:$A$33,0))="","",INDEX('Supplier Universe &amp; Risk'!$S$4:$S$33,MATCH($A38,'Supplier Universe &amp; Risk'!$A$4:$A$33,0)))</f>
        <v>59</v>
      </c>
      <c r="J38" s="22" t="n">
        <f aca="false">IF(INDEX('Supplier Universe &amp; Risk'!$T$4:$T$33,MATCH($A38,'Supplier Universe &amp; Risk'!$A$4:$A$33,0))="","",INDEX('Supplier Universe &amp; Risk'!$T$4:$T$33,MATCH($A38,'Supplier Universe &amp; Risk'!$A$4:$A$33,0)))</f>
        <v>54</v>
      </c>
      <c r="K38" s="23" t="n">
        <f aca="false">IF(OR(C38="",D38=""),"",(MAX(0,MIN(1,($B$10-C38)/($B$10-$B$11)))*100+MAX(0,MIN(1,(D38-$B$12)/($B$13-$B$12)))*100)/2)</f>
        <v>43.1323529411765</v>
      </c>
      <c r="L38" s="23" t="n">
        <f aca="false">IF(OR(E38="",F38=""),"",(MAX(0,MIN(1,($B$14-E38)/($B$14-$B$15)))*100+MAX(0,MIN(1,($B$16-F38)/($B$16-$B$17)))*100)/2)</f>
        <v>25.2380952380953</v>
      </c>
      <c r="M38" s="23" t="n">
        <f aca="false">IF(COUNT(H38:J38)=3,AVERAGE(H38:J38),"")</f>
        <v>60</v>
      </c>
      <c r="N38" s="23" t="n">
        <f aca="false">IF(G38="","",G38)</f>
        <v>39</v>
      </c>
      <c r="O38" s="6" t="n">
        <f aca="false">(K38="")+(L38="")+(M38="")+(N38="")</f>
        <v>0</v>
      </c>
      <c r="P38" s="6" t="str">
        <f aca="false">IF(O38=0,"Complete",IF(O38=1,"Partial - 1 pillar defaulted","Limited - "&amp;O38&amp;" pillars defaulted"))</f>
        <v>Complete</v>
      </c>
      <c r="Q38" s="23" t="n">
        <f aca="false">$B$5*IF(K38="",$B$18,K38)+$B$6*IF(L38="",$B$18,L38)+$B$7*IF(M38="",$B$18,M38)+$B$8*IF(N38="",$B$18,N38)</f>
        <v>43.0992296918768</v>
      </c>
      <c r="R38" s="21" t="n">
        <f aca="false">IF(INDEX('Supplier Universe &amp; Risk'!$U$4:$U$33,MATCH($A38,'Supplier Universe &amp; Risk'!$A$4:$A$33,0))="","",INDEX('Supplier Universe &amp; Risk'!$U$4:$U$33,MATCH($A38,'Supplier Universe &amp; Risk'!$A$4:$A$33,0)))</f>
        <v>57.3</v>
      </c>
      <c r="S38" s="22" t="str">
        <f aca="false">IF(INDEX('Supplier Universe &amp; Risk'!$V$4:$V$33,MATCH($A38,'Supplier Universe &amp; Risk'!$A$4:$A$33,0))="","",INDEX('Supplier Universe &amp; Risk'!$V$4:$V$33,MATCH($A38,'Supplier Universe &amp; Risk'!$A$4:$A$33,0)))</f>
        <v>MEDIUM</v>
      </c>
      <c r="T38" s="24" t="n">
        <f aca="false">R38-Q38</f>
        <v>14.2007703081232</v>
      </c>
      <c r="U38" s="6" t="n">
        <f aca="false">RANK(R38,$R$23:$R$46)</f>
        <v>14</v>
      </c>
      <c r="V38" s="6" t="n">
        <f aca="false">RANK(Q38,$Q$23:$Q$46)</f>
        <v>11</v>
      </c>
    </row>
    <row r="39" customFormat="false" ht="18" hidden="false" customHeight="true" outlineLevel="0" collapsed="false">
      <c r="A39" s="7" t="s">
        <v>233</v>
      </c>
      <c r="B39" s="7" t="s">
        <v>234</v>
      </c>
      <c r="C39" s="15" t="n">
        <f aca="false">IF(INDEX('Supplier Universe &amp; Risk'!$M$4:$M$33,MATCH($A39,'Supplier Universe &amp; Risk'!$A$4:$A$33,0))="","",INDEX('Supplier Universe &amp; Risk'!$M$4:$M$33,MATCH($A39,'Supplier Universe &amp; Risk'!$A$4:$A$33,0)))</f>
        <v>2.43</v>
      </c>
      <c r="D39" s="15" t="n">
        <f aca="false">IF(INDEX('Supplier Universe &amp; Risk'!$N$4:$N$33,MATCH($A39,'Supplier Universe &amp; Risk'!$A$4:$A$33,0))="","",INDEX('Supplier Universe &amp; Risk'!$N$4:$N$33,MATCH($A39,'Supplier Universe &amp; Risk'!$A$4:$A$33,0)))</f>
        <v>1.33</v>
      </c>
      <c r="E39" s="16" t="n">
        <f aca="false">IF(INDEX('Supplier Universe &amp; Risk'!$O$4:$O$33,MATCH($A39,'Supplier Universe &amp; Risk'!$A$4:$A$33,0))="","",INDEX('Supplier Universe &amp; Risk'!$O$4:$O$33,MATCH($A39,'Supplier Universe &amp; Risk'!$A$4:$A$33,0)))</f>
        <v>84.6</v>
      </c>
      <c r="F39" s="16" t="n">
        <f aca="false">IF(INDEX('Supplier Universe &amp; Risk'!$P$4:$P$33,MATCH($A39,'Supplier Universe &amp; Risk'!$A$4:$A$33,0))="","",INDEX('Supplier Universe &amp; Risk'!$P$4:$P$33,MATCH($A39,'Supplier Universe &amp; Risk'!$A$4:$A$33,0)))</f>
        <v>-2.1</v>
      </c>
      <c r="G39" s="17" t="n">
        <f aca="false">IF(INDEX('Supplier Universe &amp; Risk'!$Q$4:$Q$33,MATCH($A39,'Supplier Universe &amp; Risk'!$A$4:$A$33,0))="","",INDEX('Supplier Universe &amp; Risk'!$Q$4:$Q$33,MATCH($A39,'Supplier Universe &amp; Risk'!$A$4:$A$33,0)))</f>
        <v>48</v>
      </c>
      <c r="H39" s="17" t="n">
        <f aca="false">IF(INDEX('Supplier Universe &amp; Risk'!$R$4:$R$33,MATCH($A39,'Supplier Universe &amp; Risk'!$A$4:$A$33,0))="","",INDEX('Supplier Universe &amp; Risk'!$R$4:$R$33,MATCH($A39,'Supplier Universe &amp; Risk'!$A$4:$A$33,0)))</f>
        <v>27</v>
      </c>
      <c r="I39" s="17" t="n">
        <f aca="false">IF(INDEX('Supplier Universe &amp; Risk'!$S$4:$S$33,MATCH($A39,'Supplier Universe &amp; Risk'!$A$4:$A$33,0))="","",INDEX('Supplier Universe &amp; Risk'!$S$4:$S$33,MATCH($A39,'Supplier Universe &amp; Risk'!$A$4:$A$33,0)))</f>
        <v>30</v>
      </c>
      <c r="J39" s="17" t="n">
        <f aca="false">IF(INDEX('Supplier Universe &amp; Risk'!$T$4:$T$33,MATCH($A39,'Supplier Universe &amp; Risk'!$A$4:$A$33,0))="","",INDEX('Supplier Universe &amp; Risk'!$T$4:$T$33,MATCH($A39,'Supplier Universe &amp; Risk'!$A$4:$A$33,0)))</f>
        <v>24</v>
      </c>
      <c r="K39" s="18" t="n">
        <f aca="false">IF(OR(C39="",D39=""),"",(MAX(0,MIN(1,($B$10-C39)/($B$10-$B$11)))*100+MAX(0,MIN(1,(D39-$B$12)/($B$13-$B$12)))*100)/2)</f>
        <v>4.80882352941176</v>
      </c>
      <c r="L39" s="18" t="n">
        <f aca="false">IF(OR(E39="",F39=""),"",(MAX(0,MIN(1,($B$14-E39)/($B$14-$B$15)))*100+MAX(0,MIN(1,($B$16-F39)/($B$16-$B$17)))*100)/2)</f>
        <v>35.2678571428572</v>
      </c>
      <c r="M39" s="18" t="n">
        <f aca="false">IF(COUNT(H39:J39)=3,AVERAGE(H39:J39),"")</f>
        <v>27</v>
      </c>
      <c r="N39" s="18" t="n">
        <f aca="false">IF(G39="","",G39)</f>
        <v>48</v>
      </c>
      <c r="O39" s="7" t="n">
        <f aca="false">(K39="")+(L39="")+(M39="")+(N39="")</f>
        <v>0</v>
      </c>
      <c r="P39" s="7" t="str">
        <f aca="false">IF(O39=0,"Complete",IF(O39=1,"Partial - 1 pillar defaulted","Limited - "&amp;O39&amp;" pillars defaulted"))</f>
        <v>Complete</v>
      </c>
      <c r="Q39" s="18" t="n">
        <f aca="false">$B$5*IF(K39="",$B$18,K39)+$B$6*IF(L39="",$B$18,L39)+$B$7*IF(M39="",$B$18,M39)+$B$8*IF(N39="",$B$18,N39)</f>
        <v>25.5596113445378</v>
      </c>
      <c r="R39" s="16" t="n">
        <f aca="false">IF(INDEX('Supplier Universe &amp; Risk'!$U$4:$U$33,MATCH($A39,'Supplier Universe &amp; Risk'!$A$4:$A$33,0))="","",INDEX('Supplier Universe &amp; Risk'!$U$4:$U$33,MATCH($A39,'Supplier Universe &amp; Risk'!$A$4:$A$33,0)))</f>
        <v>39.3</v>
      </c>
      <c r="S39" s="17" t="str">
        <f aca="false">IF(INDEX('Supplier Universe &amp; Risk'!$V$4:$V$33,MATCH($A39,'Supplier Universe &amp; Risk'!$A$4:$A$33,0))="","",INDEX('Supplier Universe &amp; Risk'!$V$4:$V$33,MATCH($A39,'Supplier Universe &amp; Risk'!$A$4:$A$33,0)))</f>
        <v>LOW</v>
      </c>
      <c r="T39" s="19" t="n">
        <f aca="false">R39-Q39</f>
        <v>13.7403886554622</v>
      </c>
      <c r="U39" s="7" t="n">
        <f aca="false">RANK(R39,$R$23:$R$46)</f>
        <v>23</v>
      </c>
      <c r="V39" s="7" t="n">
        <f aca="false">RANK(Q39,$Q$23:$Q$46)</f>
        <v>24</v>
      </c>
    </row>
    <row r="40" customFormat="false" ht="18" hidden="false" customHeight="true" outlineLevel="0" collapsed="false">
      <c r="A40" s="6" t="s">
        <v>238</v>
      </c>
      <c r="B40" s="6" t="s">
        <v>239</v>
      </c>
      <c r="C40" s="20" t="n">
        <f aca="false">IF(INDEX('Supplier Universe &amp; Risk'!$M$4:$M$33,MATCH($A40,'Supplier Universe &amp; Risk'!$A$4:$A$33,0))="","",INDEX('Supplier Universe &amp; Risk'!$M$4:$M$33,MATCH($A40,'Supplier Universe &amp; Risk'!$A$4:$A$33,0)))</f>
        <v>2.04</v>
      </c>
      <c r="D40" s="20" t="n">
        <f aca="false">IF(INDEX('Supplier Universe &amp; Risk'!$N$4:$N$33,MATCH($A40,'Supplier Universe &amp; Risk'!$A$4:$A$33,0))="","",INDEX('Supplier Universe &amp; Risk'!$N$4:$N$33,MATCH($A40,'Supplier Universe &amp; Risk'!$A$4:$A$33,0)))</f>
        <v>2.33</v>
      </c>
      <c r="E40" s="21" t="n">
        <f aca="false">IF(INDEX('Supplier Universe &amp; Risk'!$O$4:$O$33,MATCH($A40,'Supplier Universe &amp; Risk'!$A$4:$A$33,0))="","",INDEX('Supplier Universe &amp; Risk'!$O$4:$O$33,MATCH($A40,'Supplier Universe &amp; Risk'!$A$4:$A$33,0)))</f>
        <v>89.3</v>
      </c>
      <c r="F40" s="21" t="n">
        <f aca="false">IF(INDEX('Supplier Universe &amp; Risk'!$P$4:$P$33,MATCH($A40,'Supplier Universe &amp; Risk'!$A$4:$A$33,0))="","",INDEX('Supplier Universe &amp; Risk'!$P$4:$P$33,MATCH($A40,'Supplier Universe &amp; Risk'!$A$4:$A$33,0)))</f>
        <v>0.3</v>
      </c>
      <c r="G40" s="22" t="n">
        <f aca="false">IF(INDEX('Supplier Universe &amp; Risk'!$Q$4:$Q$33,MATCH($A40,'Supplier Universe &amp; Risk'!$A$4:$A$33,0))="","",INDEX('Supplier Universe &amp; Risk'!$Q$4:$Q$33,MATCH($A40,'Supplier Universe &amp; Risk'!$A$4:$A$33,0)))</f>
        <v>57</v>
      </c>
      <c r="H40" s="22" t="n">
        <f aca="false">IF(INDEX('Supplier Universe &amp; Risk'!$R$4:$R$33,MATCH($A40,'Supplier Universe &amp; Risk'!$A$4:$A$33,0))="","",INDEX('Supplier Universe &amp; Risk'!$R$4:$R$33,MATCH($A40,'Supplier Universe &amp; Risk'!$A$4:$A$33,0)))</f>
        <v>58</v>
      </c>
      <c r="I40" s="22" t="n">
        <f aca="false">IF(INDEX('Supplier Universe &amp; Risk'!$S$4:$S$33,MATCH($A40,'Supplier Universe &amp; Risk'!$A$4:$A$33,0))="","",INDEX('Supplier Universe &amp; Risk'!$S$4:$S$33,MATCH($A40,'Supplier Universe &amp; Risk'!$A$4:$A$33,0)))</f>
        <v>62</v>
      </c>
      <c r="J40" s="22" t="n">
        <f aca="false">IF(INDEX('Supplier Universe &amp; Risk'!$T$4:$T$33,MATCH($A40,'Supplier Universe &amp; Risk'!$A$4:$A$33,0))="","",INDEX('Supplier Universe &amp; Risk'!$T$4:$T$33,MATCH($A40,'Supplier Universe &amp; Risk'!$A$4:$A$33,0)))</f>
        <v>52</v>
      </c>
      <c r="K40" s="23" t="n">
        <f aca="false">IF(OR(C40="",D40=""),"",(MAX(0,MIN(1,($B$10-C40)/($B$10-$B$11)))*100+MAX(0,MIN(1,(D40-$B$12)/($B$13-$B$12)))*100)/2)</f>
        <v>24.6127450980392</v>
      </c>
      <c r="L40" s="23" t="n">
        <f aca="false">IF(OR(E40="",F40=""),"",(MAX(0,MIN(1,($B$14-E40)/($B$14-$B$15)))*100+MAX(0,MIN(1,($B$16-F40)/($B$16-$B$17)))*100)/2)</f>
        <v>14.8660714285714</v>
      </c>
      <c r="M40" s="23" t="n">
        <f aca="false">IF(COUNT(H40:J40)=3,AVERAGE(H40:J40),"")</f>
        <v>57.3333333333333</v>
      </c>
      <c r="N40" s="23" t="n">
        <f aca="false">IF(G40="","",G40)</f>
        <v>57</v>
      </c>
      <c r="O40" s="6" t="n">
        <f aca="false">(K40="")+(L40="")+(M40="")+(N40="")</f>
        <v>0</v>
      </c>
      <c r="P40" s="6" t="str">
        <f aca="false">IF(O40=0,"Complete",IF(O40=1,"Partial - 1 pillar defaulted","Limited - "&amp;O40&amp;" pillars defaulted"))</f>
        <v>Complete</v>
      </c>
      <c r="Q40" s="23" t="n">
        <f aca="false">$B$5*IF(K40="",$B$18,K40)+$B$6*IF(L40="",$B$18,L40)+$B$7*IF(M40="",$B$18,M40)+$B$8*IF(N40="",$B$18,N40)</f>
        <v>36.8503413865546</v>
      </c>
      <c r="R40" s="21" t="n">
        <f aca="false">IF(INDEX('Supplier Universe &amp; Risk'!$U$4:$U$33,MATCH($A40,'Supplier Universe &amp; Risk'!$A$4:$A$33,0))="","",INDEX('Supplier Universe &amp; Risk'!$U$4:$U$33,MATCH($A40,'Supplier Universe &amp; Risk'!$A$4:$A$33,0)))</f>
        <v>60.9</v>
      </c>
      <c r="S40" s="22" t="str">
        <f aca="false">IF(INDEX('Supplier Universe &amp; Risk'!$V$4:$V$33,MATCH($A40,'Supplier Universe &amp; Risk'!$A$4:$A$33,0))="","",INDEX('Supplier Universe &amp; Risk'!$V$4:$V$33,MATCH($A40,'Supplier Universe &amp; Risk'!$A$4:$A$33,0)))</f>
        <v>HIGH</v>
      </c>
      <c r="T40" s="24" t="n">
        <f aca="false">R40-Q40</f>
        <v>24.0496586134454</v>
      </c>
      <c r="U40" s="6" t="n">
        <f aca="false">RANK(R40,$R$23:$R$46)</f>
        <v>13</v>
      </c>
      <c r="V40" s="6" t="n">
        <f aca="false">RANK(Q40,$Q$23:$Q$46)</f>
        <v>16</v>
      </c>
    </row>
    <row r="41" customFormat="false" ht="18" hidden="false" customHeight="true" outlineLevel="0" collapsed="false">
      <c r="A41" s="7" t="s">
        <v>249</v>
      </c>
      <c r="B41" s="7" t="s">
        <v>250</v>
      </c>
      <c r="C41" s="15" t="str">
        <f aca="false">IF(INDEX('Supplier Universe &amp; Risk'!$M$4:$M$33,MATCH($A41,'Supplier Universe &amp; Risk'!$A$4:$A$33,0))="","",INDEX('Supplier Universe &amp; Risk'!$M$4:$M$33,MATCH($A41,'Supplier Universe &amp; Risk'!$A$4:$A$33,0)))</f>
        <v/>
      </c>
      <c r="D41" s="15" t="str">
        <f aca="false">IF(INDEX('Supplier Universe &amp; Risk'!$N$4:$N$33,MATCH($A41,'Supplier Universe &amp; Risk'!$A$4:$A$33,0))="","",INDEX('Supplier Universe &amp; Risk'!$N$4:$N$33,MATCH($A41,'Supplier Universe &amp; Risk'!$A$4:$A$33,0)))</f>
        <v/>
      </c>
      <c r="E41" s="16" t="n">
        <f aca="false">IF(INDEX('Supplier Universe &amp; Risk'!$O$4:$O$33,MATCH($A41,'Supplier Universe &amp; Risk'!$A$4:$A$33,0))="","",INDEX('Supplier Universe &amp; Risk'!$O$4:$O$33,MATCH($A41,'Supplier Universe &amp; Risk'!$A$4:$A$33,0)))</f>
        <v>80.5</v>
      </c>
      <c r="F41" s="16" t="n">
        <f aca="false">IF(INDEX('Supplier Universe &amp; Risk'!$P$4:$P$33,MATCH($A41,'Supplier Universe &amp; Risk'!$A$4:$A$33,0))="","",INDEX('Supplier Universe &amp; Risk'!$P$4:$P$33,MATCH($A41,'Supplier Universe &amp; Risk'!$A$4:$A$33,0)))</f>
        <v>-2.2</v>
      </c>
      <c r="G41" s="17" t="str">
        <f aca="false">IF(INDEX('Supplier Universe &amp; Risk'!$Q$4:$Q$33,MATCH($A41,'Supplier Universe &amp; Risk'!$A$4:$A$33,0))="","",INDEX('Supplier Universe &amp; Risk'!$Q$4:$Q$33,MATCH($A41,'Supplier Universe &amp; Risk'!$A$4:$A$33,0)))</f>
        <v/>
      </c>
      <c r="H41" s="17" t="n">
        <f aca="false">IF(INDEX('Supplier Universe &amp; Risk'!$R$4:$R$33,MATCH($A41,'Supplier Universe &amp; Risk'!$A$4:$A$33,0))="","",INDEX('Supplier Universe &amp; Risk'!$R$4:$R$33,MATCH($A41,'Supplier Universe &amp; Risk'!$A$4:$A$33,0)))</f>
        <v>82</v>
      </c>
      <c r="I41" s="17" t="n">
        <f aca="false">IF(INDEX('Supplier Universe &amp; Risk'!$S$4:$S$33,MATCH($A41,'Supplier Universe &amp; Risk'!$A$4:$A$33,0))="","",INDEX('Supplier Universe &amp; Risk'!$S$4:$S$33,MATCH($A41,'Supplier Universe &amp; Risk'!$A$4:$A$33,0)))</f>
        <v>76</v>
      </c>
      <c r="J41" s="17" t="n">
        <f aca="false">IF(INDEX('Supplier Universe &amp; Risk'!$T$4:$T$33,MATCH($A41,'Supplier Universe &amp; Risk'!$A$4:$A$33,0))="","",INDEX('Supplier Universe &amp; Risk'!$T$4:$T$33,MATCH($A41,'Supplier Universe &amp; Risk'!$A$4:$A$33,0)))</f>
        <v>71</v>
      </c>
      <c r="K41" s="18" t="str">
        <f aca="false">IF(OR(C41="",D41=""),"",(MAX(0,MIN(1,($B$10-C41)/($B$10-$B$11)))*100+MAX(0,MIN(1,(D41-$B$12)/($B$13-$B$12)))*100)/2)</f>
        <v/>
      </c>
      <c r="L41" s="18" t="n">
        <f aca="false">IF(OR(E41="",F41=""),"",(MAX(0,MIN(1,($B$14-E41)/($B$14-$B$15)))*100+MAX(0,MIN(1,($B$16-F41)/($B$16-$B$17)))*100)/2)</f>
        <v>48.3184523809524</v>
      </c>
      <c r="M41" s="18" t="n">
        <f aca="false">IF(COUNT(H41:J41)=3,AVERAGE(H41:J41),"")</f>
        <v>76.3333333333333</v>
      </c>
      <c r="N41" s="18" t="str">
        <f aca="false">IF(G41="","",G41)</f>
        <v/>
      </c>
      <c r="O41" s="7" t="n">
        <f aca="false">(K41="")+(L41="")+(M41="")+(N41="")</f>
        <v>2</v>
      </c>
      <c r="P41" s="7" t="str">
        <f aca="false">IF(O41=0,"Complete",IF(O41=1,"Partial - 1 pillar defaulted","Limited - "&amp;O41&amp;" pillars defaulted"))</f>
        <v>Limited - 2 pillars defaulted</v>
      </c>
      <c r="Q41" s="18" t="n">
        <f aca="false">$B$5*IF(K41="",$B$18,K41)+$B$6*IF(L41="",$B$18,L41)+$B$7*IF(M41="",$B$18,M41)+$B$8*IF(N41="",$B$18,N41)</f>
        <v>61.9796130952381</v>
      </c>
      <c r="R41" s="16" t="n">
        <f aca="false">IF(INDEX('Supplier Universe &amp; Risk'!$U$4:$U$33,MATCH($A41,'Supplier Universe &amp; Risk'!$A$4:$A$33,0))="","",INDEX('Supplier Universe &amp; Risk'!$U$4:$U$33,MATCH($A41,'Supplier Universe &amp; Risk'!$A$4:$A$33,0)))</f>
        <v>74.4</v>
      </c>
      <c r="S41" s="17" t="str">
        <f aca="false">IF(INDEX('Supplier Universe &amp; Risk'!$V$4:$V$33,MATCH($A41,'Supplier Universe &amp; Risk'!$A$4:$A$33,0))="","",INDEX('Supplier Universe &amp; Risk'!$V$4:$V$33,MATCH($A41,'Supplier Universe &amp; Risk'!$A$4:$A$33,0)))</f>
        <v>HIGH</v>
      </c>
      <c r="T41" s="19" t="n">
        <f aca="false">R41-Q41</f>
        <v>12.4203869047619</v>
      </c>
      <c r="U41" s="7" t="n">
        <f aca="false">RANK(R41,$R$23:$R$46)</f>
        <v>4</v>
      </c>
      <c r="V41" s="7" t="n">
        <f aca="false">RANK(Q41,$Q$23:$Q$46)</f>
        <v>2</v>
      </c>
    </row>
    <row r="42" customFormat="false" ht="18" hidden="false" customHeight="true" outlineLevel="0" collapsed="false">
      <c r="A42" s="6" t="s">
        <v>256</v>
      </c>
      <c r="B42" s="6" t="s">
        <v>257</v>
      </c>
      <c r="C42" s="20" t="str">
        <f aca="false">IF(INDEX('Supplier Universe &amp; Risk'!$M$4:$M$33,MATCH($A42,'Supplier Universe &amp; Risk'!$A$4:$A$33,0))="","",INDEX('Supplier Universe &amp; Risk'!$M$4:$M$33,MATCH($A42,'Supplier Universe &amp; Risk'!$A$4:$A$33,0)))</f>
        <v/>
      </c>
      <c r="D42" s="20" t="str">
        <f aca="false">IF(INDEX('Supplier Universe &amp; Risk'!$N$4:$N$33,MATCH($A42,'Supplier Universe &amp; Risk'!$A$4:$A$33,0))="","",INDEX('Supplier Universe &amp; Risk'!$N$4:$N$33,MATCH($A42,'Supplier Universe &amp; Risk'!$A$4:$A$33,0)))</f>
        <v/>
      </c>
      <c r="E42" s="21" t="n">
        <f aca="false">IF(INDEX('Supplier Universe &amp; Risk'!$O$4:$O$33,MATCH($A42,'Supplier Universe &amp; Risk'!$A$4:$A$33,0))="","",INDEX('Supplier Universe &amp; Risk'!$O$4:$O$33,MATCH($A42,'Supplier Universe &amp; Risk'!$A$4:$A$33,0)))</f>
        <v>81.9</v>
      </c>
      <c r="F42" s="21" t="n">
        <f aca="false">IF(INDEX('Supplier Universe &amp; Risk'!$P$4:$P$33,MATCH($A42,'Supplier Universe &amp; Risk'!$A$4:$A$33,0))="","",INDEX('Supplier Universe &amp; Risk'!$P$4:$P$33,MATCH($A42,'Supplier Universe &amp; Risk'!$A$4:$A$33,0)))</f>
        <v>-0.9</v>
      </c>
      <c r="G42" s="22" t="str">
        <f aca="false">IF(INDEX('Supplier Universe &amp; Risk'!$Q$4:$Q$33,MATCH($A42,'Supplier Universe &amp; Risk'!$A$4:$A$33,0))="","",INDEX('Supplier Universe &amp; Risk'!$Q$4:$Q$33,MATCH($A42,'Supplier Universe &amp; Risk'!$A$4:$A$33,0)))</f>
        <v/>
      </c>
      <c r="H42" s="22" t="n">
        <f aca="false">IF(INDEX('Supplier Universe &amp; Risk'!$R$4:$R$33,MATCH($A42,'Supplier Universe &amp; Risk'!$A$4:$A$33,0))="","",INDEX('Supplier Universe &amp; Risk'!$R$4:$R$33,MATCH($A42,'Supplier Universe &amp; Risk'!$A$4:$A$33,0)))</f>
        <v>82</v>
      </c>
      <c r="I42" s="22" t="n">
        <f aca="false">IF(INDEX('Supplier Universe &amp; Risk'!$S$4:$S$33,MATCH($A42,'Supplier Universe &amp; Risk'!$A$4:$A$33,0))="","",INDEX('Supplier Universe &amp; Risk'!$S$4:$S$33,MATCH($A42,'Supplier Universe &amp; Risk'!$A$4:$A$33,0)))</f>
        <v>76</v>
      </c>
      <c r="J42" s="22" t="n">
        <f aca="false">IF(INDEX('Supplier Universe &amp; Risk'!$T$4:$T$33,MATCH($A42,'Supplier Universe &amp; Risk'!$A$4:$A$33,0))="","",INDEX('Supplier Universe &amp; Risk'!$T$4:$T$33,MATCH($A42,'Supplier Universe &amp; Risk'!$A$4:$A$33,0)))</f>
        <v>71</v>
      </c>
      <c r="K42" s="23" t="str">
        <f aca="false">IF(OR(C42="",D42=""),"",(MAX(0,MIN(1,($B$10-C42)/($B$10-$B$11)))*100+MAX(0,MIN(1,(D42-$B$12)/($B$13-$B$12)))*100)/2)</f>
        <v/>
      </c>
      <c r="L42" s="23" t="n">
        <f aca="false">IF(OR(E42="",F42=""),"",(MAX(0,MIN(1,($B$14-E42)/($B$14-$B$15)))*100+MAX(0,MIN(1,($B$16-F42)/($B$16-$B$17)))*100)/2)</f>
        <v>40.8482142857143</v>
      </c>
      <c r="M42" s="23" t="n">
        <f aca="false">IF(COUNT(H42:J42)=3,AVERAGE(H42:J42),"")</f>
        <v>76.3333333333333</v>
      </c>
      <c r="N42" s="23" t="str">
        <f aca="false">IF(G42="","",G42)</f>
        <v/>
      </c>
      <c r="O42" s="6" t="n">
        <f aca="false">(K42="")+(L42="")+(M42="")+(N42="")</f>
        <v>2</v>
      </c>
      <c r="P42" s="6" t="str">
        <f aca="false">IF(O42=0,"Complete",IF(O42=1,"Partial - 1 pillar defaulted","Limited - "&amp;O42&amp;" pillars defaulted"))</f>
        <v>Limited - 2 pillars defaulted</v>
      </c>
      <c r="Q42" s="23" t="n">
        <f aca="false">$B$5*IF(K42="",$B$18,K42)+$B$6*IF(L42="",$B$18,L42)+$B$7*IF(M42="",$B$18,M42)+$B$8*IF(N42="",$B$18,N42)</f>
        <v>60.1120535714286</v>
      </c>
      <c r="R42" s="21" t="n">
        <f aca="false">IF(INDEX('Supplier Universe &amp; Risk'!$U$4:$U$33,MATCH($A42,'Supplier Universe &amp; Risk'!$A$4:$A$33,0))="","",INDEX('Supplier Universe &amp; Risk'!$U$4:$U$33,MATCH($A42,'Supplier Universe &amp; Risk'!$A$4:$A$33,0)))</f>
        <v>73.4</v>
      </c>
      <c r="S42" s="22" t="str">
        <f aca="false">IF(INDEX('Supplier Universe &amp; Risk'!$V$4:$V$33,MATCH($A42,'Supplier Universe &amp; Risk'!$A$4:$A$33,0))="","",INDEX('Supplier Universe &amp; Risk'!$V$4:$V$33,MATCH($A42,'Supplier Universe &amp; Risk'!$A$4:$A$33,0)))</f>
        <v>HIGH</v>
      </c>
      <c r="T42" s="24" t="n">
        <f aca="false">R42-Q42</f>
        <v>13.2879464285714</v>
      </c>
      <c r="U42" s="6" t="n">
        <f aca="false">RANK(R42,$R$23:$R$46)</f>
        <v>5</v>
      </c>
      <c r="V42" s="6" t="n">
        <f aca="false">RANK(Q42,$Q$23:$Q$46)</f>
        <v>3</v>
      </c>
    </row>
    <row r="43" customFormat="false" ht="18" hidden="false" customHeight="true" outlineLevel="0" collapsed="false">
      <c r="A43" s="7" t="s">
        <v>263</v>
      </c>
      <c r="B43" s="7" t="s">
        <v>264</v>
      </c>
      <c r="C43" s="15" t="str">
        <f aca="false">IF(INDEX('Supplier Universe &amp; Risk'!$M$4:$M$33,MATCH($A43,'Supplier Universe &amp; Risk'!$A$4:$A$33,0))="","",INDEX('Supplier Universe &amp; Risk'!$M$4:$M$33,MATCH($A43,'Supplier Universe &amp; Risk'!$A$4:$A$33,0)))</f>
        <v/>
      </c>
      <c r="D43" s="15" t="str">
        <f aca="false">IF(INDEX('Supplier Universe &amp; Risk'!$N$4:$N$33,MATCH($A43,'Supplier Universe &amp; Risk'!$A$4:$A$33,0))="","",INDEX('Supplier Universe &amp; Risk'!$N$4:$N$33,MATCH($A43,'Supplier Universe &amp; Risk'!$A$4:$A$33,0)))</f>
        <v/>
      </c>
      <c r="E43" s="16" t="n">
        <f aca="false">IF(INDEX('Supplier Universe &amp; Risk'!$O$4:$O$33,MATCH($A43,'Supplier Universe &amp; Risk'!$A$4:$A$33,0))="","",INDEX('Supplier Universe &amp; Risk'!$O$4:$O$33,MATCH($A43,'Supplier Universe &amp; Risk'!$A$4:$A$33,0)))</f>
        <v>87.4</v>
      </c>
      <c r="F43" s="16" t="n">
        <f aca="false">IF(INDEX('Supplier Universe &amp; Risk'!$P$4:$P$33,MATCH($A43,'Supplier Universe &amp; Risk'!$A$4:$A$33,0))="","",INDEX('Supplier Universe &amp; Risk'!$P$4:$P$33,MATCH($A43,'Supplier Universe &amp; Risk'!$A$4:$A$33,0)))</f>
        <v>1.8</v>
      </c>
      <c r="G43" s="17" t="str">
        <f aca="false">IF(INDEX('Supplier Universe &amp; Risk'!$Q$4:$Q$33,MATCH($A43,'Supplier Universe &amp; Risk'!$A$4:$A$33,0))="","",INDEX('Supplier Universe &amp; Risk'!$Q$4:$Q$33,MATCH($A43,'Supplier Universe &amp; Risk'!$A$4:$A$33,0)))</f>
        <v/>
      </c>
      <c r="H43" s="17" t="n">
        <f aca="false">IF(INDEX('Supplier Universe &amp; Risk'!$R$4:$R$33,MATCH($A43,'Supplier Universe &amp; Risk'!$A$4:$A$33,0))="","",INDEX('Supplier Universe &amp; Risk'!$R$4:$R$33,MATCH($A43,'Supplier Universe &amp; Risk'!$A$4:$A$33,0)))</f>
        <v>67</v>
      </c>
      <c r="I43" s="17" t="n">
        <f aca="false">IF(INDEX('Supplier Universe &amp; Risk'!$S$4:$S$33,MATCH($A43,'Supplier Universe &amp; Risk'!$A$4:$A$33,0))="","",INDEX('Supplier Universe &amp; Risk'!$S$4:$S$33,MATCH($A43,'Supplier Universe &amp; Risk'!$A$4:$A$33,0)))</f>
        <v>59</v>
      </c>
      <c r="J43" s="17" t="n">
        <f aca="false">IF(INDEX('Supplier Universe &amp; Risk'!$T$4:$T$33,MATCH($A43,'Supplier Universe &amp; Risk'!$A$4:$A$33,0))="","",INDEX('Supplier Universe &amp; Risk'!$T$4:$T$33,MATCH($A43,'Supplier Universe &amp; Risk'!$A$4:$A$33,0)))</f>
        <v>54</v>
      </c>
      <c r="K43" s="18" t="str">
        <f aca="false">IF(OR(C43="",D43=""),"",(MAX(0,MIN(1,($B$10-C43)/($B$10-$B$11)))*100+MAX(0,MIN(1,(D43-$B$12)/($B$13-$B$12)))*100)/2)</f>
        <v/>
      </c>
      <c r="L43" s="18" t="n">
        <f aca="false">IF(OR(E43="",F43=""),"",(MAX(0,MIN(1,($B$14-E43)/($B$14-$B$15)))*100+MAX(0,MIN(1,($B$16-F43)/($B$16-$B$17)))*100)/2)</f>
        <v>17.2321428571428</v>
      </c>
      <c r="M43" s="18" t="n">
        <f aca="false">IF(COUNT(H43:J43)=3,AVERAGE(H43:J43),"")</f>
        <v>60</v>
      </c>
      <c r="N43" s="18" t="str">
        <f aca="false">IF(G43="","",G43)</f>
        <v/>
      </c>
      <c r="O43" s="7" t="n">
        <f aca="false">(K43="")+(L43="")+(M43="")+(N43="")</f>
        <v>2</v>
      </c>
      <c r="P43" s="7" t="str">
        <f aca="false">IF(O43=0,"Complete",IF(O43=1,"Partial - 1 pillar defaulted","Limited - "&amp;O43&amp;" pillars defaulted"))</f>
        <v>Limited - 2 pillars defaulted</v>
      </c>
      <c r="Q43" s="18" t="n">
        <f aca="false">$B$5*IF(K43="",$B$18,K43)+$B$6*IF(L43="",$B$18,L43)+$B$7*IF(M43="",$B$18,M43)+$B$8*IF(N43="",$B$18,N43)</f>
        <v>49.3080357142857</v>
      </c>
      <c r="R43" s="16" t="n">
        <f aca="false">IF(INDEX('Supplier Universe &amp; Risk'!$U$4:$U$33,MATCH($A43,'Supplier Universe &amp; Risk'!$A$4:$A$33,0))="","",INDEX('Supplier Universe &amp; Risk'!$U$4:$U$33,MATCH($A43,'Supplier Universe &amp; Risk'!$A$4:$A$33,0)))</f>
        <v>64.9</v>
      </c>
      <c r="S43" s="17" t="str">
        <f aca="false">IF(INDEX('Supplier Universe &amp; Risk'!$V$4:$V$33,MATCH($A43,'Supplier Universe &amp; Risk'!$A$4:$A$33,0))="","",INDEX('Supplier Universe &amp; Risk'!$V$4:$V$33,MATCH($A43,'Supplier Universe &amp; Risk'!$A$4:$A$33,0)))</f>
        <v>HIGH</v>
      </c>
      <c r="T43" s="19" t="n">
        <f aca="false">R43-Q43</f>
        <v>15.5919642857143</v>
      </c>
      <c r="U43" s="7" t="n">
        <f aca="false">RANK(R43,$R$23:$R$46)</f>
        <v>9</v>
      </c>
      <c r="V43" s="7" t="n">
        <f aca="false">RANK(Q43,$Q$23:$Q$46)</f>
        <v>6</v>
      </c>
    </row>
    <row r="44" customFormat="false" ht="18" hidden="false" customHeight="true" outlineLevel="0" collapsed="false">
      <c r="A44" s="6" t="s">
        <v>269</v>
      </c>
      <c r="B44" s="6" t="s">
        <v>270</v>
      </c>
      <c r="C44" s="20" t="str">
        <f aca="false">IF(INDEX('Supplier Universe &amp; Risk'!$M$4:$M$33,MATCH($A44,'Supplier Universe &amp; Risk'!$A$4:$A$33,0))="","",INDEX('Supplier Universe &amp; Risk'!$M$4:$M$33,MATCH($A44,'Supplier Universe &amp; Risk'!$A$4:$A$33,0)))</f>
        <v/>
      </c>
      <c r="D44" s="20" t="str">
        <f aca="false">IF(INDEX('Supplier Universe &amp; Risk'!$N$4:$N$33,MATCH($A44,'Supplier Universe &amp; Risk'!$A$4:$A$33,0))="","",INDEX('Supplier Universe &amp; Risk'!$N$4:$N$33,MATCH($A44,'Supplier Universe &amp; Risk'!$A$4:$A$33,0)))</f>
        <v/>
      </c>
      <c r="E44" s="21" t="n">
        <f aca="false">IF(INDEX('Supplier Universe &amp; Risk'!$O$4:$O$33,MATCH($A44,'Supplier Universe &amp; Risk'!$A$4:$A$33,0))="","",INDEX('Supplier Universe &amp; Risk'!$O$4:$O$33,MATCH($A44,'Supplier Universe &amp; Risk'!$A$4:$A$33,0)))</f>
        <v>87.3</v>
      </c>
      <c r="F44" s="21" t="n">
        <f aca="false">IF(INDEX('Supplier Universe &amp; Risk'!$P$4:$P$33,MATCH($A44,'Supplier Universe &amp; Risk'!$A$4:$A$33,0))="","",INDEX('Supplier Universe &amp; Risk'!$P$4:$P$33,MATCH($A44,'Supplier Universe &amp; Risk'!$A$4:$A$33,0)))</f>
        <v>1.8</v>
      </c>
      <c r="G44" s="22" t="str">
        <f aca="false">IF(INDEX('Supplier Universe &amp; Risk'!$Q$4:$Q$33,MATCH($A44,'Supplier Universe &amp; Risk'!$A$4:$A$33,0))="","",INDEX('Supplier Universe &amp; Risk'!$Q$4:$Q$33,MATCH($A44,'Supplier Universe &amp; Risk'!$A$4:$A$33,0)))</f>
        <v/>
      </c>
      <c r="H44" s="22" t="n">
        <f aca="false">IF(INDEX('Supplier Universe &amp; Risk'!$R$4:$R$33,MATCH($A44,'Supplier Universe &amp; Risk'!$A$4:$A$33,0))="","",INDEX('Supplier Universe &amp; Risk'!$R$4:$R$33,MATCH($A44,'Supplier Universe &amp; Risk'!$A$4:$A$33,0)))</f>
        <v>58</v>
      </c>
      <c r="I44" s="22" t="n">
        <f aca="false">IF(INDEX('Supplier Universe &amp; Risk'!$S$4:$S$33,MATCH($A44,'Supplier Universe &amp; Risk'!$A$4:$A$33,0))="","",INDEX('Supplier Universe &amp; Risk'!$S$4:$S$33,MATCH($A44,'Supplier Universe &amp; Risk'!$A$4:$A$33,0)))</f>
        <v>62</v>
      </c>
      <c r="J44" s="22" t="n">
        <f aca="false">IF(INDEX('Supplier Universe &amp; Risk'!$T$4:$T$33,MATCH($A44,'Supplier Universe &amp; Risk'!$A$4:$A$33,0))="","",INDEX('Supplier Universe &amp; Risk'!$T$4:$T$33,MATCH($A44,'Supplier Universe &amp; Risk'!$A$4:$A$33,0)))</f>
        <v>52</v>
      </c>
      <c r="K44" s="23" t="str">
        <f aca="false">IF(OR(C44="",D44=""),"",(MAX(0,MIN(1,($B$10-C44)/($B$10-$B$11)))*100+MAX(0,MIN(1,(D44-$B$12)/($B$13-$B$12)))*100)/2)</f>
        <v/>
      </c>
      <c r="L44" s="23" t="n">
        <f aca="false">IF(OR(E44="",F44=""),"",(MAX(0,MIN(1,($B$14-E44)/($B$14-$B$15)))*100+MAX(0,MIN(1,($B$16-F44)/($B$16-$B$17)))*100)/2)</f>
        <v>17.5446428571429</v>
      </c>
      <c r="M44" s="23" t="n">
        <f aca="false">IF(COUNT(H44:J44)=3,AVERAGE(H44:J44),"")</f>
        <v>57.3333333333333</v>
      </c>
      <c r="N44" s="23" t="str">
        <f aca="false">IF(G44="","",G44)</f>
        <v/>
      </c>
      <c r="O44" s="6" t="n">
        <f aca="false">(K44="")+(L44="")+(M44="")+(N44="")</f>
        <v>2</v>
      </c>
      <c r="P44" s="6" t="str">
        <f aca="false">IF(O44=0,"Complete",IF(O44=1,"Partial - 1 pillar defaulted","Limited - "&amp;O44&amp;" pillars defaulted"))</f>
        <v>Limited - 2 pillars defaulted</v>
      </c>
      <c r="Q44" s="23" t="n">
        <f aca="false">$B$5*IF(K44="",$B$18,K44)+$B$6*IF(L44="",$B$18,L44)+$B$7*IF(M44="",$B$18,M44)+$B$8*IF(N44="",$B$18,N44)</f>
        <v>48.5861607142857</v>
      </c>
      <c r="R44" s="21" t="n">
        <f aca="false">IF(INDEX('Supplier Universe &amp; Risk'!$U$4:$U$33,MATCH($A44,'Supplier Universe &amp; Risk'!$A$4:$A$33,0))="","",INDEX('Supplier Universe &amp; Risk'!$U$4:$U$33,MATCH($A44,'Supplier Universe &amp; Risk'!$A$4:$A$33,0)))</f>
        <v>64.4</v>
      </c>
      <c r="S44" s="22" t="str">
        <f aca="false">IF(INDEX('Supplier Universe &amp; Risk'!$V$4:$V$33,MATCH($A44,'Supplier Universe &amp; Risk'!$A$4:$A$33,0))="","",INDEX('Supplier Universe &amp; Risk'!$V$4:$V$33,MATCH($A44,'Supplier Universe &amp; Risk'!$A$4:$A$33,0)))</f>
        <v>HIGH</v>
      </c>
      <c r="T44" s="24" t="n">
        <f aca="false">R44-Q44</f>
        <v>15.8138392857143</v>
      </c>
      <c r="U44" s="6" t="n">
        <f aca="false">RANK(R44,$R$23:$R$46)</f>
        <v>10</v>
      </c>
      <c r="V44" s="6" t="n">
        <f aca="false">RANK(Q44,$Q$23:$Q$46)</f>
        <v>7</v>
      </c>
    </row>
    <row r="45" customFormat="false" ht="18" hidden="false" customHeight="true" outlineLevel="0" collapsed="false">
      <c r="A45" s="7" t="s">
        <v>274</v>
      </c>
      <c r="B45" s="7" t="s">
        <v>275</v>
      </c>
      <c r="C45" s="15" t="str">
        <f aca="false">IF(INDEX('Supplier Universe &amp; Risk'!$M$4:$M$33,MATCH($A45,'Supplier Universe &amp; Risk'!$A$4:$A$33,0))="","",INDEX('Supplier Universe &amp; Risk'!$M$4:$M$33,MATCH($A45,'Supplier Universe &amp; Risk'!$A$4:$A$33,0)))</f>
        <v/>
      </c>
      <c r="D45" s="15" t="str">
        <f aca="false">IF(INDEX('Supplier Universe &amp; Risk'!$N$4:$N$33,MATCH($A45,'Supplier Universe &amp; Risk'!$A$4:$A$33,0))="","",INDEX('Supplier Universe &amp; Risk'!$N$4:$N$33,MATCH($A45,'Supplier Universe &amp; Risk'!$A$4:$A$33,0)))</f>
        <v/>
      </c>
      <c r="E45" s="16" t="n">
        <f aca="false">IF(INDEX('Supplier Universe &amp; Risk'!$O$4:$O$33,MATCH($A45,'Supplier Universe &amp; Risk'!$A$4:$A$33,0))="","",INDEX('Supplier Universe &amp; Risk'!$O$4:$O$33,MATCH($A45,'Supplier Universe &amp; Risk'!$A$4:$A$33,0)))</f>
        <v>90.1</v>
      </c>
      <c r="F45" s="16" t="n">
        <f aca="false">IF(INDEX('Supplier Universe &amp; Risk'!$P$4:$P$33,MATCH($A45,'Supplier Universe &amp; Risk'!$A$4:$A$33,0))="","",INDEX('Supplier Universe &amp; Risk'!$P$4:$P$33,MATCH($A45,'Supplier Universe &amp; Risk'!$A$4:$A$33,0)))</f>
        <v>-1.2</v>
      </c>
      <c r="G45" s="17" t="str">
        <f aca="false">IF(INDEX('Supplier Universe &amp; Risk'!$Q$4:$Q$33,MATCH($A45,'Supplier Universe &amp; Risk'!$A$4:$A$33,0))="","",INDEX('Supplier Universe &amp; Risk'!$Q$4:$Q$33,MATCH($A45,'Supplier Universe &amp; Risk'!$A$4:$A$33,0)))</f>
        <v/>
      </c>
      <c r="H45" s="17" t="n">
        <f aca="false">IF(INDEX('Supplier Universe &amp; Risk'!$R$4:$R$33,MATCH($A45,'Supplier Universe &amp; Risk'!$A$4:$A$33,0))="","",INDEX('Supplier Universe &amp; Risk'!$R$4:$R$33,MATCH($A45,'Supplier Universe &amp; Risk'!$A$4:$A$33,0)))</f>
        <v>39</v>
      </c>
      <c r="I45" s="17" t="n">
        <f aca="false">IF(INDEX('Supplier Universe &amp; Risk'!$S$4:$S$33,MATCH($A45,'Supplier Universe &amp; Risk'!$A$4:$A$33,0))="","",INDEX('Supplier Universe &amp; Risk'!$S$4:$S$33,MATCH($A45,'Supplier Universe &amp; Risk'!$A$4:$A$33,0)))</f>
        <v>47</v>
      </c>
      <c r="J45" s="17" t="n">
        <f aca="false">IF(INDEX('Supplier Universe &amp; Risk'!$T$4:$T$33,MATCH($A45,'Supplier Universe &amp; Risk'!$A$4:$A$33,0))="","",INDEX('Supplier Universe &amp; Risk'!$T$4:$T$33,MATCH($A45,'Supplier Universe &amp; Risk'!$A$4:$A$33,0)))</f>
        <v>41</v>
      </c>
      <c r="K45" s="18" t="str">
        <f aca="false">IF(OR(C45="",D45=""),"",(MAX(0,MIN(1,($B$10-C45)/($B$10-$B$11)))*100+MAX(0,MIN(1,(D45-$B$12)/($B$13-$B$12)))*100)/2)</f>
        <v/>
      </c>
      <c r="L45" s="18" t="n">
        <f aca="false">IF(OR(E45="",F45=""),"",(MAX(0,MIN(1,($B$14-E45)/($B$14-$B$15)))*100+MAX(0,MIN(1,($B$16-F45)/($B$16-$B$17)))*100)/2)</f>
        <v>15.9375</v>
      </c>
      <c r="M45" s="18" t="n">
        <f aca="false">IF(COUNT(H45:J45)=3,AVERAGE(H45:J45),"")</f>
        <v>42.3333333333333</v>
      </c>
      <c r="N45" s="18" t="str">
        <f aca="false">IF(G45="","",G45)</f>
        <v/>
      </c>
      <c r="O45" s="7" t="n">
        <f aca="false">(K45="")+(L45="")+(M45="")+(N45="")</f>
        <v>2</v>
      </c>
      <c r="P45" s="7" t="str">
        <f aca="false">IF(O45=0,"Complete",IF(O45=1,"Partial - 1 pillar defaulted","Limited - "&amp;O45&amp;" pillars defaulted"))</f>
        <v>Limited - 2 pillars defaulted</v>
      </c>
      <c r="Q45" s="18" t="n">
        <f aca="false">$B$5*IF(K45="",$B$18,K45)+$B$6*IF(L45="",$B$18,L45)+$B$7*IF(M45="",$B$18,M45)+$B$8*IF(N45="",$B$18,N45)</f>
        <v>43.684375</v>
      </c>
      <c r="R45" s="16" t="n">
        <f aca="false">IF(INDEX('Supplier Universe &amp; Risk'!$U$4:$U$33,MATCH($A45,'Supplier Universe &amp; Risk'!$A$4:$A$33,0))="","",INDEX('Supplier Universe &amp; Risk'!$U$4:$U$33,MATCH($A45,'Supplier Universe &amp; Risk'!$A$4:$A$33,0)))</f>
        <v>63.5</v>
      </c>
      <c r="S45" s="17" t="str">
        <f aca="false">IF(INDEX('Supplier Universe &amp; Risk'!$V$4:$V$33,MATCH($A45,'Supplier Universe &amp; Risk'!$A$4:$A$33,0))="","",INDEX('Supplier Universe &amp; Risk'!$V$4:$V$33,MATCH($A45,'Supplier Universe &amp; Risk'!$A$4:$A$33,0)))</f>
        <v>HIGH</v>
      </c>
      <c r="T45" s="19" t="n">
        <f aca="false">R45-Q45</f>
        <v>19.815625</v>
      </c>
      <c r="U45" s="7" t="n">
        <f aca="false">RANK(R45,$R$23:$R$46)</f>
        <v>11</v>
      </c>
      <c r="V45" s="7" t="n">
        <f aca="false">RANK(Q45,$Q$23:$Q$46)</f>
        <v>10</v>
      </c>
    </row>
    <row r="46" customFormat="false" ht="18" hidden="false" customHeight="true" outlineLevel="0" collapsed="false">
      <c r="A46" s="6" t="s">
        <v>280</v>
      </c>
      <c r="B46" s="6" t="s">
        <v>281</v>
      </c>
      <c r="C46" s="20" t="str">
        <f aca="false">IF(INDEX('Supplier Universe &amp; Risk'!$M$4:$M$33,MATCH($A46,'Supplier Universe &amp; Risk'!$A$4:$A$33,0))="","",INDEX('Supplier Universe &amp; Risk'!$M$4:$M$33,MATCH($A46,'Supplier Universe &amp; Risk'!$A$4:$A$33,0)))</f>
        <v/>
      </c>
      <c r="D46" s="20" t="str">
        <f aca="false">IF(INDEX('Supplier Universe &amp; Risk'!$N$4:$N$33,MATCH($A46,'Supplier Universe &amp; Risk'!$A$4:$A$33,0))="","",INDEX('Supplier Universe &amp; Risk'!$N$4:$N$33,MATCH($A46,'Supplier Universe &amp; Risk'!$A$4:$A$33,0)))</f>
        <v/>
      </c>
      <c r="E46" s="21" t="n">
        <f aca="false">IF(INDEX('Supplier Universe &amp; Risk'!$O$4:$O$33,MATCH($A46,'Supplier Universe &amp; Risk'!$A$4:$A$33,0))="","",INDEX('Supplier Universe &amp; Risk'!$O$4:$O$33,MATCH($A46,'Supplier Universe &amp; Risk'!$A$4:$A$33,0)))</f>
        <v>90.9</v>
      </c>
      <c r="F46" s="21" t="n">
        <f aca="false">IF(INDEX('Supplier Universe &amp; Risk'!$P$4:$P$33,MATCH($A46,'Supplier Universe &amp; Risk'!$A$4:$A$33,0))="","",INDEX('Supplier Universe &amp; Risk'!$P$4:$P$33,MATCH($A46,'Supplier Universe &amp; Risk'!$A$4:$A$33,0)))</f>
        <v>-0.9</v>
      </c>
      <c r="G46" s="22" t="str">
        <f aca="false">IF(INDEX('Supplier Universe &amp; Risk'!$Q$4:$Q$33,MATCH($A46,'Supplier Universe &amp; Risk'!$A$4:$A$33,0))="","",INDEX('Supplier Universe &amp; Risk'!$Q$4:$Q$33,MATCH($A46,'Supplier Universe &amp; Risk'!$A$4:$A$33,0)))</f>
        <v/>
      </c>
      <c r="H46" s="22" t="n">
        <f aca="false">IF(INDEX('Supplier Universe &amp; Risk'!$R$4:$R$33,MATCH($A46,'Supplier Universe &amp; Risk'!$A$4:$A$33,0))="","",INDEX('Supplier Universe &amp; Risk'!$R$4:$R$33,MATCH($A46,'Supplier Universe &amp; Risk'!$A$4:$A$33,0)))</f>
        <v>19</v>
      </c>
      <c r="I46" s="22" t="n">
        <f aca="false">IF(INDEX('Supplier Universe &amp; Risk'!$S$4:$S$33,MATCH($A46,'Supplier Universe &amp; Risk'!$A$4:$A$33,0))="","",INDEX('Supplier Universe &amp; Risk'!$S$4:$S$33,MATCH($A46,'Supplier Universe &amp; Risk'!$A$4:$A$33,0)))</f>
        <v>26</v>
      </c>
      <c r="J46" s="22" t="n">
        <f aca="false">IF(INDEX('Supplier Universe &amp; Risk'!$T$4:$T$33,MATCH($A46,'Supplier Universe &amp; Risk'!$A$4:$A$33,0))="","",INDEX('Supplier Universe &amp; Risk'!$T$4:$T$33,MATCH($A46,'Supplier Universe &amp; Risk'!$A$4:$A$33,0)))</f>
        <v>25</v>
      </c>
      <c r="K46" s="23" t="str">
        <f aca="false">IF(OR(C46="",D46=""),"",(MAX(0,MIN(1,($B$10-C46)/($B$10-$B$11)))*100+MAX(0,MIN(1,(D46-$B$12)/($B$13-$B$12)))*100)/2)</f>
        <v/>
      </c>
      <c r="L46" s="23" t="n">
        <f aca="false">IF(OR(E46="",F46=""),"",(MAX(0,MIN(1,($B$14-E46)/($B$14-$B$15)))*100+MAX(0,MIN(1,($B$16-F46)/($B$16-$B$17)))*100)/2)</f>
        <v>12.7232142857143</v>
      </c>
      <c r="M46" s="23" t="n">
        <f aca="false">IF(COUNT(H46:J46)=3,AVERAGE(H46:J46),"")</f>
        <v>23.3333333333333</v>
      </c>
      <c r="N46" s="23" t="str">
        <f aca="false">IF(G46="","",G46)</f>
        <v/>
      </c>
      <c r="O46" s="6" t="n">
        <f aca="false">(K46="")+(L46="")+(M46="")+(N46="")</f>
        <v>2</v>
      </c>
      <c r="P46" s="6" t="str">
        <f aca="false">IF(O46=0,"Complete",IF(O46=1,"Partial - 1 pillar defaulted","Limited - "&amp;O46&amp;" pillars defaulted"))</f>
        <v>Limited - 2 pillars defaulted</v>
      </c>
      <c r="Q46" s="23" t="n">
        <f aca="false">$B$5*IF(K46="",$B$18,K46)+$B$6*IF(L46="",$B$18,L46)+$B$7*IF(M46="",$B$18,M46)+$B$8*IF(N46="",$B$18,N46)</f>
        <v>37.1808035714286</v>
      </c>
      <c r="R46" s="21" t="n">
        <f aca="false">IF(INDEX('Supplier Universe &amp; Risk'!$U$4:$U$33,MATCH($A46,'Supplier Universe &amp; Risk'!$A$4:$A$33,0))="","",INDEX('Supplier Universe &amp; Risk'!$U$4:$U$33,MATCH($A46,'Supplier Universe &amp; Risk'!$A$4:$A$33,0)))</f>
        <v>51.6</v>
      </c>
      <c r="S46" s="22" t="str">
        <f aca="false">IF(INDEX('Supplier Universe &amp; Risk'!$V$4:$V$33,MATCH($A46,'Supplier Universe &amp; Risk'!$A$4:$A$33,0))="","",INDEX('Supplier Universe &amp; Risk'!$V$4:$V$33,MATCH($A46,'Supplier Universe &amp; Risk'!$A$4:$A$33,0)))</f>
        <v>MEDIUM</v>
      </c>
      <c r="T46" s="24" t="n">
        <f aca="false">R46-Q46</f>
        <v>14.4191964285714</v>
      </c>
      <c r="U46" s="6" t="n">
        <f aca="false">RANK(R46,$R$23:$R$46)</f>
        <v>18</v>
      </c>
      <c r="V46" s="6" t="n">
        <f aca="false">RANK(Q46,$Q$23:$Q$46)</f>
        <v>15</v>
      </c>
    </row>
    <row r="48" customFormat="false" ht="15" hidden="false" customHeight="false" outlineLevel="0" collapsed="false">
      <c r="A48" s="25" t="s">
        <v>329</v>
      </c>
      <c r="B48" s="6"/>
      <c r="C48" s="6"/>
      <c r="D48" s="6"/>
      <c r="E48" s="6"/>
      <c r="F48" s="6"/>
      <c r="G48" s="6"/>
      <c r="H48" s="6"/>
      <c r="I48" s="6"/>
      <c r="J48" s="6"/>
      <c r="K48" s="6"/>
      <c r="L48" s="6"/>
      <c r="M48" s="6"/>
      <c r="N48" s="6"/>
      <c r="O48" s="6"/>
      <c r="P48" s="6"/>
      <c r="Q48" s="6"/>
      <c r="R48" s="6"/>
      <c r="S48" s="6"/>
      <c r="T48" s="6"/>
      <c r="U48" s="6"/>
      <c r="V48" s="6"/>
    </row>
    <row r="49" customFormat="false" ht="15" hidden="false" customHeight="false" outlineLevel="0" collapsed="false">
      <c r="A49" s="26" t="s">
        <v>330</v>
      </c>
      <c r="B49" s="26"/>
      <c r="C49" s="27" t="n">
        <f aca="false">CORREL(Q23:Q46,R23:R46)</f>
        <v>0.84183548689345</v>
      </c>
    </row>
    <row r="50" customFormat="false" ht="15" hidden="false" customHeight="false" outlineLevel="0" collapsed="false">
      <c r="A50" s="26" t="s">
        <v>331</v>
      </c>
      <c r="B50" s="26"/>
      <c r="C50" s="27" t="n">
        <f aca="false">CORREL(U23:U46,V23:V46)</f>
        <v>0.868582224033244</v>
      </c>
    </row>
    <row r="51" customFormat="false" ht="15" hidden="false" customHeight="false" outlineLevel="0" collapsed="false">
      <c r="A51" s="26" t="s">
        <v>332</v>
      </c>
      <c r="B51" s="26"/>
      <c r="C51" s="28" t="n">
        <f aca="false">AVERAGE(T23:T46)</f>
        <v>18.0712407358777</v>
      </c>
    </row>
    <row r="52" customFormat="false" ht="15" hidden="false" customHeight="false" outlineLevel="0" collapsed="false">
      <c r="A52" s="26" t="s">
        <v>333</v>
      </c>
      <c r="B52" s="26"/>
      <c r="C52" s="29" t="n">
        <f aca="false">COUNTIF(O23:O46,"&gt;0")</f>
        <v>6</v>
      </c>
    </row>
    <row r="53" customFormat="false" ht="15" hidden="false" customHeight="false" outlineLevel="0" collapsed="false">
      <c r="A53" s="26" t="s">
        <v>334</v>
      </c>
      <c r="B53" s="26"/>
      <c r="C53" s="29" t="n">
        <f aca="false">SUMPRODUCT((S23:S46="CRITICAL")*(V23:V46&lt;=5))</f>
        <v>3</v>
      </c>
    </row>
    <row r="55" customFormat="false" ht="48" hidden="false" customHeight="true" outlineLevel="0" collapsed="false">
      <c r="A55" s="30" t="s">
        <v>335</v>
      </c>
      <c r="B55" s="30"/>
      <c r="C55" s="30"/>
      <c r="D55" s="30"/>
      <c r="E55" s="30"/>
      <c r="F55" s="30"/>
      <c r="G55" s="30"/>
      <c r="H55" s="30"/>
      <c r="I55" s="30"/>
      <c r="J55" s="30"/>
      <c r="K55" s="30"/>
      <c r="L55" s="30"/>
      <c r="M55" s="30"/>
      <c r="N55" s="30"/>
    </row>
  </sheetData>
  <mergeCells count="8">
    <mergeCell ref="A1:V1"/>
    <mergeCell ref="A2:V2"/>
    <mergeCell ref="A49:B49"/>
    <mergeCell ref="A50:B50"/>
    <mergeCell ref="A51:B51"/>
    <mergeCell ref="A52:B52"/>
    <mergeCell ref="A53:B53"/>
    <mergeCell ref="A55:N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4" min="3" style="0" width="12"/>
    <col collapsed="false" customWidth="true" hidden="false" outlineLevel="0" max="5" min="5" style="0" width="28"/>
    <col collapsed="false" customWidth="true" hidden="false" outlineLevel="0" max="6" min="6" style="0" width="24"/>
    <col collapsed="false" customWidth="true" hidden="false" outlineLevel="0" max="7" min="7" style="0" width="23"/>
    <col collapsed="false" customWidth="true" hidden="false" outlineLevel="0" max="8" min="8" style="0" width="17"/>
    <col collapsed="false" customWidth="true" hidden="false" outlineLevel="0" max="10" min="9" style="0" width="21"/>
    <col collapsed="false" customWidth="true" hidden="false" outlineLevel="0" max="11" min="11" style="0" width="15"/>
    <col collapsed="false" customWidth="true" hidden="false" outlineLevel="0" max="12" min="12" style="0" width="34"/>
    <col collapsed="false" customWidth="true" hidden="false" outlineLevel="0" max="13" min="13" style="0" width="52"/>
  </cols>
  <sheetData>
    <row r="1" customFormat="false" ht="27.75" hidden="false" customHeight="true" outlineLevel="0" collapsed="false">
      <c r="A1" s="1" t="s">
        <v>336</v>
      </c>
      <c r="B1" s="1"/>
      <c r="C1" s="1"/>
      <c r="D1" s="1"/>
      <c r="E1" s="1"/>
      <c r="F1" s="1"/>
      <c r="G1" s="1"/>
      <c r="H1" s="1"/>
      <c r="I1" s="1"/>
      <c r="J1" s="1"/>
      <c r="K1" s="1"/>
      <c r="L1" s="1"/>
      <c r="M1" s="1"/>
    </row>
    <row r="2" customFormat="false" ht="31.5" hidden="false" customHeight="true" outlineLevel="0" collapsed="false">
      <c r="A2" s="2" t="s">
        <v>337</v>
      </c>
      <c r="B2" s="2"/>
      <c r="C2" s="2"/>
      <c r="D2" s="2"/>
      <c r="E2" s="2"/>
      <c r="F2" s="2"/>
      <c r="G2" s="2"/>
      <c r="H2" s="2"/>
      <c r="I2" s="2"/>
      <c r="J2" s="2"/>
      <c r="K2" s="2"/>
      <c r="L2" s="2"/>
      <c r="M2" s="2"/>
    </row>
    <row r="3" customFormat="false" ht="31.5" hidden="false" customHeight="true" outlineLevel="0" collapsed="false">
      <c r="A3" s="3" t="s">
        <v>50</v>
      </c>
      <c r="B3" s="3" t="s">
        <v>51</v>
      </c>
      <c r="C3" s="3" t="s">
        <v>338</v>
      </c>
      <c r="D3" s="3" t="s">
        <v>339</v>
      </c>
      <c r="E3" s="3" t="s">
        <v>340</v>
      </c>
      <c r="F3" s="3" t="s">
        <v>341</v>
      </c>
      <c r="G3" s="3" t="s">
        <v>342</v>
      </c>
      <c r="H3" s="3" t="s">
        <v>343</v>
      </c>
      <c r="I3" s="3" t="s">
        <v>344</v>
      </c>
      <c r="J3" s="3" t="s">
        <v>105</v>
      </c>
      <c r="K3" s="3" t="s">
        <v>345</v>
      </c>
      <c r="L3" s="3" t="s">
        <v>346</v>
      </c>
      <c r="M3" s="3" t="s">
        <v>347</v>
      </c>
    </row>
    <row r="4" customFormat="false" ht="63.75" hidden="false" customHeight="true" outlineLevel="0" collapsed="false">
      <c r="A4" s="7" t="s">
        <v>55</v>
      </c>
      <c r="B4" s="7" t="s">
        <v>56</v>
      </c>
      <c r="C4" s="7" t="s">
        <v>348</v>
      </c>
      <c r="D4" s="7" t="s">
        <v>349</v>
      </c>
      <c r="E4" s="7" t="s">
        <v>350</v>
      </c>
      <c r="F4" s="7" t="s">
        <v>351</v>
      </c>
      <c r="G4" s="7" t="s">
        <v>352</v>
      </c>
      <c r="H4" s="7" t="s">
        <v>116</v>
      </c>
      <c r="I4" s="7" t="s">
        <v>121</v>
      </c>
      <c r="J4" s="7" t="n">
        <v>51.8</v>
      </c>
      <c r="K4" s="7" t="s">
        <v>119</v>
      </c>
      <c r="L4" s="7" t="s">
        <v>353</v>
      </c>
      <c r="M4" s="7" t="s">
        <v>354</v>
      </c>
    </row>
    <row r="5" customFormat="false" ht="63.75" hidden="false" customHeight="true" outlineLevel="0" collapsed="false">
      <c r="A5" s="6" t="s">
        <v>55</v>
      </c>
      <c r="B5" s="6" t="s">
        <v>56</v>
      </c>
      <c r="C5" s="6" t="s">
        <v>348</v>
      </c>
      <c r="D5" s="6" t="s">
        <v>349</v>
      </c>
      <c r="E5" s="6" t="s">
        <v>355</v>
      </c>
      <c r="F5" s="6" t="s">
        <v>351</v>
      </c>
      <c r="G5" s="6" t="s">
        <v>356</v>
      </c>
      <c r="H5" s="6" t="s">
        <v>126</v>
      </c>
      <c r="I5" s="6" t="s">
        <v>121</v>
      </c>
      <c r="J5" s="6" t="n">
        <v>52.7</v>
      </c>
      <c r="K5" s="6" t="s">
        <v>119</v>
      </c>
      <c r="L5" s="6" t="s">
        <v>357</v>
      </c>
      <c r="M5" s="6" t="s">
        <v>354</v>
      </c>
    </row>
    <row r="6" customFormat="false" ht="78.75" hidden="false" customHeight="true" outlineLevel="0" collapsed="false">
      <c r="A6" s="7" t="s">
        <v>55</v>
      </c>
      <c r="B6" s="7" t="s">
        <v>56</v>
      </c>
      <c r="C6" s="7" t="s">
        <v>348</v>
      </c>
      <c r="D6" s="7" t="s">
        <v>358</v>
      </c>
      <c r="E6" s="7" t="s">
        <v>359</v>
      </c>
      <c r="F6" s="7" t="s">
        <v>360</v>
      </c>
      <c r="G6" s="7" t="s">
        <v>361</v>
      </c>
      <c r="H6" s="7" t="s">
        <v>362</v>
      </c>
      <c r="I6" s="7" t="s">
        <v>363</v>
      </c>
      <c r="J6" s="7"/>
      <c r="K6" s="7" t="s">
        <v>364</v>
      </c>
      <c r="L6" s="7" t="s">
        <v>365</v>
      </c>
      <c r="M6" s="7" t="s">
        <v>366</v>
      </c>
    </row>
    <row r="7" customFormat="false" ht="63.75" hidden="false" customHeight="true" outlineLevel="0" collapsed="false">
      <c r="A7" s="6" t="s">
        <v>59</v>
      </c>
      <c r="B7" s="6" t="s">
        <v>60</v>
      </c>
      <c r="C7" s="6" t="s">
        <v>43</v>
      </c>
      <c r="D7" s="6" t="s">
        <v>349</v>
      </c>
      <c r="E7" s="6" t="s">
        <v>350</v>
      </c>
      <c r="F7" s="6" t="s">
        <v>351</v>
      </c>
      <c r="G7" s="6" t="s">
        <v>367</v>
      </c>
      <c r="H7" s="6" t="s">
        <v>116</v>
      </c>
      <c r="I7" s="6" t="s">
        <v>121</v>
      </c>
      <c r="J7" s="6" t="n">
        <v>51.8</v>
      </c>
      <c r="K7" s="6" t="s">
        <v>119</v>
      </c>
      <c r="L7" s="6" t="s">
        <v>368</v>
      </c>
      <c r="M7" s="6" t="s">
        <v>354</v>
      </c>
    </row>
    <row r="8" customFormat="false" ht="63.75" hidden="false" customHeight="true" outlineLevel="0" collapsed="false">
      <c r="A8" s="7" t="s">
        <v>59</v>
      </c>
      <c r="B8" s="7" t="s">
        <v>60</v>
      </c>
      <c r="C8" s="7" t="s">
        <v>43</v>
      </c>
      <c r="D8" s="7" t="s">
        <v>349</v>
      </c>
      <c r="E8" s="7" t="s">
        <v>355</v>
      </c>
      <c r="F8" s="7" t="s">
        <v>351</v>
      </c>
      <c r="G8" s="7" t="s">
        <v>369</v>
      </c>
      <c r="H8" s="7" t="s">
        <v>126</v>
      </c>
      <c r="I8" s="7" t="s">
        <v>121</v>
      </c>
      <c r="J8" s="7" t="n">
        <v>52.7</v>
      </c>
      <c r="K8" s="7" t="s">
        <v>119</v>
      </c>
      <c r="L8" s="7" t="s">
        <v>370</v>
      </c>
      <c r="M8" s="7" t="s">
        <v>354</v>
      </c>
    </row>
    <row r="9" customFormat="false" ht="78.75" hidden="false" customHeight="true" outlineLevel="0" collapsed="false">
      <c r="A9" s="6" t="s">
        <v>59</v>
      </c>
      <c r="B9" s="6" t="s">
        <v>60</v>
      </c>
      <c r="C9" s="6" t="s">
        <v>43</v>
      </c>
      <c r="D9" s="6" t="s">
        <v>358</v>
      </c>
      <c r="E9" s="6" t="s">
        <v>359</v>
      </c>
      <c r="F9" s="6" t="s">
        <v>360</v>
      </c>
      <c r="G9" s="6" t="s">
        <v>371</v>
      </c>
      <c r="H9" s="6" t="s">
        <v>362</v>
      </c>
      <c r="I9" s="6" t="s">
        <v>363</v>
      </c>
      <c r="J9" s="6"/>
      <c r="K9" s="6" t="s">
        <v>364</v>
      </c>
      <c r="L9" s="6" t="s">
        <v>365</v>
      </c>
      <c r="M9" s="6" t="s">
        <v>366</v>
      </c>
    </row>
    <row r="10" customFormat="false" ht="30" hidden="false" customHeight="true" outlineLevel="0" collapsed="false">
      <c r="A10" s="7" t="s">
        <v>63</v>
      </c>
      <c r="B10" s="7" t="s">
        <v>64</v>
      </c>
      <c r="C10" s="7" t="s">
        <v>372</v>
      </c>
      <c r="D10" s="7" t="s">
        <v>349</v>
      </c>
      <c r="E10" s="7" t="s">
        <v>373</v>
      </c>
      <c r="F10" s="7" t="s">
        <v>351</v>
      </c>
      <c r="G10" s="7" t="s">
        <v>374</v>
      </c>
      <c r="H10" s="7" t="s">
        <v>133</v>
      </c>
      <c r="I10" s="7" t="s">
        <v>121</v>
      </c>
      <c r="J10" s="7" t="n">
        <v>69</v>
      </c>
      <c r="K10" s="7" t="s">
        <v>135</v>
      </c>
      <c r="L10" s="7" t="s">
        <v>375</v>
      </c>
      <c r="M10" s="7" t="s">
        <v>376</v>
      </c>
    </row>
    <row r="11" customFormat="false" ht="30" hidden="false" customHeight="true" outlineLevel="0" collapsed="false">
      <c r="A11" s="6" t="s">
        <v>67</v>
      </c>
      <c r="B11" s="6" t="s">
        <v>68</v>
      </c>
      <c r="C11" s="6" t="s">
        <v>377</v>
      </c>
      <c r="D11" s="6" t="s">
        <v>349</v>
      </c>
      <c r="E11" s="6" t="s">
        <v>378</v>
      </c>
      <c r="F11" s="6" t="s">
        <v>351</v>
      </c>
      <c r="G11" s="6" t="s">
        <v>374</v>
      </c>
      <c r="H11" s="6" t="s">
        <v>146</v>
      </c>
      <c r="I11" s="6" t="s">
        <v>121</v>
      </c>
      <c r="J11" s="6" t="n">
        <v>49.7</v>
      </c>
      <c r="K11" s="6" t="s">
        <v>119</v>
      </c>
      <c r="L11" s="6" t="s">
        <v>379</v>
      </c>
      <c r="M11" s="6" t="s">
        <v>376</v>
      </c>
    </row>
    <row r="12" customFormat="false" ht="30" hidden="false" customHeight="true" outlineLevel="0" collapsed="false">
      <c r="A12" s="7" t="s">
        <v>71</v>
      </c>
      <c r="B12" s="7" t="s">
        <v>72</v>
      </c>
      <c r="C12" s="7" t="s">
        <v>39</v>
      </c>
      <c r="D12" s="7" t="s">
        <v>349</v>
      </c>
      <c r="E12" s="7" t="s">
        <v>380</v>
      </c>
      <c r="F12" s="7" t="s">
        <v>351</v>
      </c>
      <c r="G12" s="7" t="s">
        <v>374</v>
      </c>
      <c r="H12" s="7" t="s">
        <v>162</v>
      </c>
      <c r="I12" s="7" t="s">
        <v>121</v>
      </c>
      <c r="J12" s="7" t="n">
        <v>45.4</v>
      </c>
      <c r="K12" s="7" t="s">
        <v>119</v>
      </c>
      <c r="L12" s="7" t="s">
        <v>381</v>
      </c>
      <c r="M12" s="7" t="s">
        <v>376</v>
      </c>
    </row>
    <row r="13" customFormat="false" ht="33.75" hidden="false" customHeight="true" outlineLevel="0" collapsed="false">
      <c r="A13" s="6" t="s">
        <v>75</v>
      </c>
      <c r="B13" s="6" t="s">
        <v>76</v>
      </c>
      <c r="C13" s="6" t="s">
        <v>382</v>
      </c>
      <c r="D13" s="6" t="s">
        <v>349</v>
      </c>
      <c r="E13" s="6" t="s">
        <v>383</v>
      </c>
      <c r="F13" s="6" t="s">
        <v>351</v>
      </c>
      <c r="G13" s="6" t="s">
        <v>374</v>
      </c>
      <c r="H13" s="6" t="s">
        <v>157</v>
      </c>
      <c r="I13" s="6" t="s">
        <v>121</v>
      </c>
      <c r="J13" s="6" t="n">
        <v>48.4</v>
      </c>
      <c r="K13" s="6" t="s">
        <v>119</v>
      </c>
      <c r="L13" s="6" t="s">
        <v>384</v>
      </c>
      <c r="M13" s="6" t="s">
        <v>385</v>
      </c>
    </row>
    <row r="14" customFormat="false" ht="33.75" hidden="false" customHeight="true" outlineLevel="0" collapsed="false">
      <c r="A14" s="7" t="s">
        <v>79</v>
      </c>
      <c r="B14" s="7" t="s">
        <v>80</v>
      </c>
      <c r="C14" s="7" t="s">
        <v>46</v>
      </c>
      <c r="D14" s="7" t="s">
        <v>349</v>
      </c>
      <c r="E14" s="7" t="s">
        <v>386</v>
      </c>
      <c r="F14" s="7" t="s">
        <v>351</v>
      </c>
      <c r="G14" s="7" t="s">
        <v>387</v>
      </c>
      <c r="H14" s="7" t="s">
        <v>167</v>
      </c>
      <c r="I14" s="7" t="s">
        <v>121</v>
      </c>
      <c r="J14" s="7" t="n">
        <v>44.6</v>
      </c>
      <c r="K14" s="7" t="s">
        <v>169</v>
      </c>
      <c r="L14" s="7" t="s">
        <v>388</v>
      </c>
      <c r="M14" s="7" t="s">
        <v>389</v>
      </c>
    </row>
    <row r="15" customFormat="false" ht="33.75" hidden="false" customHeight="true" outlineLevel="0" collapsed="false">
      <c r="A15" s="6" t="s">
        <v>79</v>
      </c>
      <c r="B15" s="6" t="s">
        <v>80</v>
      </c>
      <c r="C15" s="6" t="s">
        <v>46</v>
      </c>
      <c r="D15" s="6" t="s">
        <v>349</v>
      </c>
      <c r="E15" s="6" t="s">
        <v>390</v>
      </c>
      <c r="F15" s="6" t="s">
        <v>351</v>
      </c>
      <c r="G15" s="6" t="s">
        <v>391</v>
      </c>
      <c r="H15" s="6" t="s">
        <v>179</v>
      </c>
      <c r="I15" s="6" t="s">
        <v>121</v>
      </c>
      <c r="J15" s="6" t="n">
        <v>32.5</v>
      </c>
      <c r="K15" s="6" t="s">
        <v>169</v>
      </c>
      <c r="L15" s="6" t="s">
        <v>392</v>
      </c>
      <c r="M15" s="6" t="s">
        <v>389</v>
      </c>
    </row>
    <row r="16" customFormat="false" ht="33.75" hidden="false" customHeight="true" outlineLevel="0" collapsed="false">
      <c r="A16" s="7" t="s">
        <v>55</v>
      </c>
      <c r="B16" s="7" t="s">
        <v>56</v>
      </c>
      <c r="C16" s="7" t="s">
        <v>348</v>
      </c>
      <c r="D16" s="7" t="s">
        <v>393</v>
      </c>
      <c r="E16" s="7" t="s">
        <v>394</v>
      </c>
      <c r="F16" s="7" t="s">
        <v>395</v>
      </c>
      <c r="G16" s="7" t="s">
        <v>396</v>
      </c>
      <c r="H16" s="7" t="s">
        <v>190</v>
      </c>
      <c r="I16" s="7" t="s">
        <v>121</v>
      </c>
      <c r="J16" s="7" t="n">
        <v>79</v>
      </c>
      <c r="K16" s="7" t="s">
        <v>193</v>
      </c>
      <c r="L16" s="7" t="s">
        <v>397</v>
      </c>
      <c r="M16" s="7" t="s">
        <v>398</v>
      </c>
    </row>
    <row r="17" customFormat="false" ht="30" hidden="false" customHeight="true" outlineLevel="0" collapsed="false">
      <c r="A17" s="6" t="s">
        <v>55</v>
      </c>
      <c r="B17" s="6" t="s">
        <v>56</v>
      </c>
      <c r="C17" s="6" t="s">
        <v>348</v>
      </c>
      <c r="D17" s="6" t="s">
        <v>393</v>
      </c>
      <c r="E17" s="6" t="s">
        <v>399</v>
      </c>
      <c r="F17" s="6" t="s">
        <v>395</v>
      </c>
      <c r="G17" s="6" t="s">
        <v>396</v>
      </c>
      <c r="H17" s="6" t="s">
        <v>211</v>
      </c>
      <c r="I17" s="6" t="s">
        <v>121</v>
      </c>
      <c r="J17" s="6" t="n">
        <v>69.4</v>
      </c>
      <c r="K17" s="6" t="s">
        <v>135</v>
      </c>
      <c r="L17" s="6" t="s">
        <v>400</v>
      </c>
      <c r="M17" s="6" t="s">
        <v>401</v>
      </c>
    </row>
    <row r="18" customFormat="false" ht="30" hidden="false" customHeight="true" outlineLevel="0" collapsed="false">
      <c r="A18" s="7" t="s">
        <v>55</v>
      </c>
      <c r="B18" s="7" t="s">
        <v>56</v>
      </c>
      <c r="C18" s="7" t="s">
        <v>348</v>
      </c>
      <c r="D18" s="7" t="s">
        <v>393</v>
      </c>
      <c r="E18" s="7" t="s">
        <v>402</v>
      </c>
      <c r="F18" s="7" t="s">
        <v>395</v>
      </c>
      <c r="G18" s="7" t="s">
        <v>396</v>
      </c>
      <c r="H18" s="7" t="s">
        <v>226</v>
      </c>
      <c r="I18" s="7" t="s">
        <v>121</v>
      </c>
      <c r="J18" s="7" t="n">
        <v>68.8</v>
      </c>
      <c r="K18" s="7" t="s">
        <v>135</v>
      </c>
      <c r="L18" s="7" t="s">
        <v>403</v>
      </c>
      <c r="M18" s="7" t="s">
        <v>401</v>
      </c>
    </row>
    <row r="19" customFormat="false" ht="30" hidden="false" customHeight="true" outlineLevel="0" collapsed="false">
      <c r="A19" s="6" t="s">
        <v>59</v>
      </c>
      <c r="B19" s="6" t="s">
        <v>60</v>
      </c>
      <c r="C19" s="6" t="s">
        <v>43</v>
      </c>
      <c r="D19" s="6" t="s">
        <v>393</v>
      </c>
      <c r="E19" s="6" t="s">
        <v>394</v>
      </c>
      <c r="F19" s="6" t="s">
        <v>395</v>
      </c>
      <c r="G19" s="6" t="s">
        <v>396</v>
      </c>
      <c r="H19" s="6" t="s">
        <v>190</v>
      </c>
      <c r="I19" s="6" t="s">
        <v>121</v>
      </c>
      <c r="J19" s="6" t="n">
        <v>79</v>
      </c>
      <c r="K19" s="6" t="s">
        <v>193</v>
      </c>
      <c r="L19" s="6" t="s">
        <v>397</v>
      </c>
      <c r="M19" s="6" t="s">
        <v>401</v>
      </c>
    </row>
    <row r="20" customFormat="false" ht="30" hidden="false" customHeight="true" outlineLevel="0" collapsed="false">
      <c r="A20" s="7" t="s">
        <v>59</v>
      </c>
      <c r="B20" s="7" t="s">
        <v>60</v>
      </c>
      <c r="C20" s="7" t="s">
        <v>43</v>
      </c>
      <c r="D20" s="7" t="s">
        <v>393</v>
      </c>
      <c r="E20" s="7" t="s">
        <v>399</v>
      </c>
      <c r="F20" s="7" t="s">
        <v>395</v>
      </c>
      <c r="G20" s="7" t="s">
        <v>396</v>
      </c>
      <c r="H20" s="7" t="s">
        <v>211</v>
      </c>
      <c r="I20" s="7" t="s">
        <v>121</v>
      </c>
      <c r="J20" s="7" t="n">
        <v>69.4</v>
      </c>
      <c r="K20" s="7" t="s">
        <v>135</v>
      </c>
      <c r="L20" s="7" t="s">
        <v>400</v>
      </c>
      <c r="M20" s="7" t="s">
        <v>401</v>
      </c>
    </row>
    <row r="21" customFormat="false" ht="30" hidden="false" customHeight="true" outlineLevel="0" collapsed="false">
      <c r="A21" s="6" t="s">
        <v>59</v>
      </c>
      <c r="B21" s="6" t="s">
        <v>60</v>
      </c>
      <c r="C21" s="6" t="s">
        <v>43</v>
      </c>
      <c r="D21" s="6" t="s">
        <v>393</v>
      </c>
      <c r="E21" s="6" t="s">
        <v>402</v>
      </c>
      <c r="F21" s="6" t="s">
        <v>395</v>
      </c>
      <c r="G21" s="6" t="s">
        <v>396</v>
      </c>
      <c r="H21" s="6" t="s">
        <v>226</v>
      </c>
      <c r="I21" s="6" t="s">
        <v>121</v>
      </c>
      <c r="J21" s="6" t="n">
        <v>68.8</v>
      </c>
      <c r="K21" s="6" t="s">
        <v>135</v>
      </c>
      <c r="L21" s="6" t="s">
        <v>403</v>
      </c>
      <c r="M21" s="6" t="s">
        <v>401</v>
      </c>
    </row>
    <row r="22" customFormat="false" ht="33.75" hidden="false" customHeight="true" outlineLevel="0" collapsed="false">
      <c r="A22" s="7" t="s">
        <v>63</v>
      </c>
      <c r="B22" s="7" t="s">
        <v>64</v>
      </c>
      <c r="C22" s="7" t="s">
        <v>372</v>
      </c>
      <c r="D22" s="7" t="s">
        <v>393</v>
      </c>
      <c r="E22" s="7" t="s">
        <v>404</v>
      </c>
      <c r="F22" s="7" t="s">
        <v>405</v>
      </c>
      <c r="G22" s="7" t="s">
        <v>396</v>
      </c>
      <c r="H22" s="7" t="s">
        <v>201</v>
      </c>
      <c r="I22" s="7" t="s">
        <v>121</v>
      </c>
      <c r="J22" s="7" t="n">
        <v>79</v>
      </c>
      <c r="K22" s="7" t="s">
        <v>193</v>
      </c>
      <c r="L22" s="7" t="s">
        <v>406</v>
      </c>
      <c r="M22" s="7" t="s">
        <v>407</v>
      </c>
    </row>
    <row r="23" customFormat="false" ht="30" hidden="false" customHeight="true" outlineLevel="0" collapsed="false">
      <c r="A23" s="6" t="s">
        <v>63</v>
      </c>
      <c r="B23" s="6" t="s">
        <v>64</v>
      </c>
      <c r="C23" s="6" t="s">
        <v>372</v>
      </c>
      <c r="D23" s="6" t="s">
        <v>393</v>
      </c>
      <c r="E23" s="6" t="s">
        <v>408</v>
      </c>
      <c r="F23" s="6" t="s">
        <v>405</v>
      </c>
      <c r="G23" s="6" t="s">
        <v>396</v>
      </c>
      <c r="H23" s="6" t="s">
        <v>206</v>
      </c>
      <c r="I23" s="6" t="s">
        <v>121</v>
      </c>
      <c r="J23" s="6" t="n">
        <v>57.2</v>
      </c>
      <c r="K23" s="6" t="s">
        <v>119</v>
      </c>
      <c r="L23" s="6" t="s">
        <v>409</v>
      </c>
      <c r="M23" s="6" t="s">
        <v>410</v>
      </c>
    </row>
    <row r="24" customFormat="false" ht="30" hidden="false" customHeight="true" outlineLevel="0" collapsed="false">
      <c r="A24" s="7" t="s">
        <v>63</v>
      </c>
      <c r="B24" s="7" t="s">
        <v>64</v>
      </c>
      <c r="C24" s="7" t="s">
        <v>372</v>
      </c>
      <c r="D24" s="7" t="s">
        <v>393</v>
      </c>
      <c r="E24" s="7" t="s">
        <v>411</v>
      </c>
      <c r="F24" s="7" t="s">
        <v>405</v>
      </c>
      <c r="G24" s="7" t="s">
        <v>396</v>
      </c>
      <c r="H24" s="7" t="s">
        <v>241</v>
      </c>
      <c r="I24" s="7" t="s">
        <v>121</v>
      </c>
      <c r="J24" s="7" t="n">
        <v>60.9</v>
      </c>
      <c r="K24" s="7" t="s">
        <v>135</v>
      </c>
      <c r="L24" s="7" t="s">
        <v>412</v>
      </c>
      <c r="M24" s="7" t="s">
        <v>413</v>
      </c>
    </row>
    <row r="25" customFormat="false" ht="33.75" hidden="false" customHeight="true" outlineLevel="0" collapsed="false">
      <c r="A25" s="6" t="s">
        <v>67</v>
      </c>
      <c r="B25" s="6" t="s">
        <v>68</v>
      </c>
      <c r="C25" s="6" t="s">
        <v>377</v>
      </c>
      <c r="D25" s="6" t="s">
        <v>393</v>
      </c>
      <c r="E25" s="6" t="s">
        <v>414</v>
      </c>
      <c r="F25" s="6" t="s">
        <v>378</v>
      </c>
      <c r="G25" s="6" t="s">
        <v>396</v>
      </c>
      <c r="H25" s="6" t="s">
        <v>216</v>
      </c>
      <c r="I25" s="6" t="s">
        <v>121</v>
      </c>
      <c r="J25" s="6" t="n">
        <v>83.7</v>
      </c>
      <c r="K25" s="6" t="s">
        <v>193</v>
      </c>
      <c r="L25" s="6" t="s">
        <v>415</v>
      </c>
      <c r="M25" s="6" t="s">
        <v>416</v>
      </c>
    </row>
    <row r="26" customFormat="false" ht="30" hidden="false" customHeight="true" outlineLevel="0" collapsed="false">
      <c r="A26" s="7" t="s">
        <v>67</v>
      </c>
      <c r="B26" s="7" t="s">
        <v>68</v>
      </c>
      <c r="C26" s="7" t="s">
        <v>377</v>
      </c>
      <c r="D26" s="7" t="s">
        <v>393</v>
      </c>
      <c r="E26" s="7" t="s">
        <v>417</v>
      </c>
      <c r="F26" s="7" t="s">
        <v>378</v>
      </c>
      <c r="G26" s="7" t="s">
        <v>396</v>
      </c>
      <c r="H26" s="7" t="s">
        <v>221</v>
      </c>
      <c r="I26" s="7" t="s">
        <v>121</v>
      </c>
      <c r="J26" s="7" t="n">
        <v>61.7</v>
      </c>
      <c r="K26" s="7" t="s">
        <v>135</v>
      </c>
      <c r="L26" s="7" t="s">
        <v>418</v>
      </c>
      <c r="M26" s="7" t="s">
        <v>419</v>
      </c>
    </row>
    <row r="27" customFormat="false" ht="33.75" hidden="false" customHeight="true" outlineLevel="0" collapsed="false">
      <c r="A27" s="6" t="s">
        <v>71</v>
      </c>
      <c r="B27" s="6" t="s">
        <v>72</v>
      </c>
      <c r="C27" s="6" t="s">
        <v>39</v>
      </c>
      <c r="D27" s="6" t="s">
        <v>393</v>
      </c>
      <c r="E27" s="6" t="s">
        <v>420</v>
      </c>
      <c r="F27" s="6" t="s">
        <v>380</v>
      </c>
      <c r="G27" s="6" t="s">
        <v>396</v>
      </c>
      <c r="H27" s="6" t="s">
        <v>236</v>
      </c>
      <c r="I27" s="6" t="s">
        <v>121</v>
      </c>
      <c r="J27" s="6" t="n">
        <v>39.3</v>
      </c>
      <c r="K27" s="6" t="s">
        <v>169</v>
      </c>
      <c r="L27" s="6" t="s">
        <v>421</v>
      </c>
      <c r="M27" s="6" t="s">
        <v>422</v>
      </c>
    </row>
    <row r="28" customFormat="false" ht="33.75" hidden="false" customHeight="true" outlineLevel="0" collapsed="false">
      <c r="A28" s="7" t="s">
        <v>75</v>
      </c>
      <c r="B28" s="7" t="s">
        <v>76</v>
      </c>
      <c r="C28" s="7" t="s">
        <v>382</v>
      </c>
      <c r="D28" s="7" t="s">
        <v>393</v>
      </c>
      <c r="E28" s="7" t="s">
        <v>423</v>
      </c>
      <c r="F28" s="7" t="s">
        <v>383</v>
      </c>
      <c r="G28" s="7" t="s">
        <v>396</v>
      </c>
      <c r="H28" s="7" t="s">
        <v>231</v>
      </c>
      <c r="I28" s="7" t="s">
        <v>121</v>
      </c>
      <c r="J28" s="7" t="n">
        <v>57.3</v>
      </c>
      <c r="K28" s="7" t="s">
        <v>119</v>
      </c>
      <c r="L28" s="7" t="s">
        <v>424</v>
      </c>
      <c r="M28" s="7" t="s">
        <v>425</v>
      </c>
    </row>
    <row r="29" customFormat="false" ht="33.75" hidden="false" customHeight="true" outlineLevel="0" collapsed="false">
      <c r="A29" s="6" t="s">
        <v>79</v>
      </c>
      <c r="B29" s="6" t="s">
        <v>80</v>
      </c>
      <c r="C29" s="6" t="s">
        <v>46</v>
      </c>
      <c r="D29" s="6" t="s">
        <v>393</v>
      </c>
      <c r="E29" s="6" t="s">
        <v>404</v>
      </c>
      <c r="F29" s="6" t="s">
        <v>426</v>
      </c>
      <c r="G29" s="6" t="s">
        <v>396</v>
      </c>
      <c r="H29" s="6" t="s">
        <v>201</v>
      </c>
      <c r="I29" s="6" t="s">
        <v>121</v>
      </c>
      <c r="J29" s="6" t="n">
        <v>79</v>
      </c>
      <c r="K29" s="6" t="s">
        <v>193</v>
      </c>
      <c r="L29" s="6" t="s">
        <v>427</v>
      </c>
      <c r="M29" s="6" t="s">
        <v>428</v>
      </c>
    </row>
    <row r="30" customFormat="false" ht="30" hidden="false" customHeight="true" outlineLevel="0" collapsed="false">
      <c r="A30" s="7" t="s">
        <v>79</v>
      </c>
      <c r="B30" s="7" t="s">
        <v>80</v>
      </c>
      <c r="C30" s="7" t="s">
        <v>46</v>
      </c>
      <c r="D30" s="7" t="s">
        <v>393</v>
      </c>
      <c r="E30" s="7" t="s">
        <v>408</v>
      </c>
      <c r="F30" s="7" t="s">
        <v>429</v>
      </c>
      <c r="G30" s="7" t="s">
        <v>396</v>
      </c>
      <c r="H30" s="7" t="s">
        <v>206</v>
      </c>
      <c r="I30" s="7" t="s">
        <v>121</v>
      </c>
      <c r="J30" s="7" t="n">
        <v>57.2</v>
      </c>
      <c r="K30" s="7" t="s">
        <v>119</v>
      </c>
      <c r="L30" s="7" t="s">
        <v>430</v>
      </c>
      <c r="M30" s="7" t="s">
        <v>431</v>
      </c>
    </row>
    <row r="31" customFormat="false" ht="33.75" hidden="false" customHeight="true" outlineLevel="0" collapsed="false">
      <c r="A31" s="6" t="s">
        <v>55</v>
      </c>
      <c r="B31" s="6" t="s">
        <v>56</v>
      </c>
      <c r="C31" s="6" t="s">
        <v>348</v>
      </c>
      <c r="D31" s="6" t="s">
        <v>432</v>
      </c>
      <c r="E31" s="6" t="s">
        <v>433</v>
      </c>
      <c r="F31" s="6" t="s">
        <v>394</v>
      </c>
      <c r="G31" s="6" t="s">
        <v>396</v>
      </c>
      <c r="H31" s="6" t="s">
        <v>252</v>
      </c>
      <c r="I31" s="6" t="s">
        <v>121</v>
      </c>
      <c r="J31" s="6" t="n">
        <v>74.4</v>
      </c>
      <c r="K31" s="6" t="s">
        <v>135</v>
      </c>
      <c r="L31" s="6" t="s">
        <v>434</v>
      </c>
      <c r="M31" s="6" t="s">
        <v>435</v>
      </c>
    </row>
    <row r="32" customFormat="false" ht="30" hidden="false" customHeight="true" outlineLevel="0" collapsed="false">
      <c r="A32" s="7" t="s">
        <v>59</v>
      </c>
      <c r="B32" s="7" t="s">
        <v>60</v>
      </c>
      <c r="C32" s="7" t="s">
        <v>43</v>
      </c>
      <c r="D32" s="7" t="s">
        <v>432</v>
      </c>
      <c r="E32" s="7" t="s">
        <v>433</v>
      </c>
      <c r="F32" s="7" t="s">
        <v>394</v>
      </c>
      <c r="G32" s="7" t="s">
        <v>396</v>
      </c>
      <c r="H32" s="7" t="s">
        <v>252</v>
      </c>
      <c r="I32" s="7" t="s">
        <v>121</v>
      </c>
      <c r="J32" s="7" t="n">
        <v>74.4</v>
      </c>
      <c r="K32" s="7" t="s">
        <v>135</v>
      </c>
      <c r="L32" s="7" t="s">
        <v>434</v>
      </c>
      <c r="M32" s="7" t="s">
        <v>436</v>
      </c>
    </row>
    <row r="33" customFormat="false" ht="30" hidden="false" customHeight="true" outlineLevel="0" collapsed="false">
      <c r="A33" s="6" t="s">
        <v>55</v>
      </c>
      <c r="B33" s="6" t="s">
        <v>56</v>
      </c>
      <c r="C33" s="6" t="s">
        <v>348</v>
      </c>
      <c r="D33" s="6" t="s">
        <v>432</v>
      </c>
      <c r="E33" s="6" t="s">
        <v>437</v>
      </c>
      <c r="F33" s="6" t="s">
        <v>402</v>
      </c>
      <c r="G33" s="6" t="s">
        <v>396</v>
      </c>
      <c r="H33" s="6" t="s">
        <v>277</v>
      </c>
      <c r="I33" s="6" t="s">
        <v>121</v>
      </c>
      <c r="J33" s="6" t="n">
        <v>63.5</v>
      </c>
      <c r="K33" s="6" t="s">
        <v>135</v>
      </c>
      <c r="L33" s="6" t="s">
        <v>438</v>
      </c>
      <c r="M33" s="6" t="s">
        <v>439</v>
      </c>
    </row>
    <row r="34" customFormat="false" ht="30" hidden="false" customHeight="true" outlineLevel="0" collapsed="false">
      <c r="A34" s="7" t="s">
        <v>59</v>
      </c>
      <c r="B34" s="7" t="s">
        <v>60</v>
      </c>
      <c r="C34" s="7" t="s">
        <v>43</v>
      </c>
      <c r="D34" s="7" t="s">
        <v>432</v>
      </c>
      <c r="E34" s="7" t="s">
        <v>437</v>
      </c>
      <c r="F34" s="7" t="s">
        <v>402</v>
      </c>
      <c r="G34" s="7" t="s">
        <v>396</v>
      </c>
      <c r="H34" s="7" t="s">
        <v>277</v>
      </c>
      <c r="I34" s="7" t="s">
        <v>121</v>
      </c>
      <c r="J34" s="7" t="n">
        <v>63.5</v>
      </c>
      <c r="K34" s="7" t="s">
        <v>135</v>
      </c>
      <c r="L34" s="7" t="s">
        <v>438</v>
      </c>
      <c r="M34" s="7" t="s">
        <v>436</v>
      </c>
    </row>
    <row r="35" customFormat="false" ht="30" hidden="false" customHeight="true" outlineLevel="0" collapsed="false">
      <c r="A35" s="6" t="s">
        <v>55</v>
      </c>
      <c r="B35" s="6" t="s">
        <v>56</v>
      </c>
      <c r="C35" s="6" t="s">
        <v>348</v>
      </c>
      <c r="D35" s="6" t="s">
        <v>432</v>
      </c>
      <c r="E35" s="6" t="s">
        <v>440</v>
      </c>
      <c r="F35" s="6" t="s">
        <v>394</v>
      </c>
      <c r="G35" s="6" t="s">
        <v>396</v>
      </c>
      <c r="H35" s="6" t="s">
        <v>259</v>
      </c>
      <c r="I35" s="6" t="s">
        <v>261</v>
      </c>
      <c r="J35" s="6" t="n">
        <v>73.4</v>
      </c>
      <c r="K35" s="6" t="s">
        <v>135</v>
      </c>
      <c r="L35" s="6" t="s">
        <v>441</v>
      </c>
      <c r="M35" s="6" t="s">
        <v>442</v>
      </c>
    </row>
    <row r="36" customFormat="false" ht="30" hidden="false" customHeight="true" outlineLevel="0" collapsed="false">
      <c r="A36" s="7" t="s">
        <v>59</v>
      </c>
      <c r="B36" s="7" t="s">
        <v>60</v>
      </c>
      <c r="C36" s="7" t="s">
        <v>43</v>
      </c>
      <c r="D36" s="7" t="s">
        <v>432</v>
      </c>
      <c r="E36" s="7" t="s">
        <v>440</v>
      </c>
      <c r="F36" s="7" t="s">
        <v>394</v>
      </c>
      <c r="G36" s="7" t="s">
        <v>396</v>
      </c>
      <c r="H36" s="7" t="s">
        <v>259</v>
      </c>
      <c r="I36" s="7" t="s">
        <v>261</v>
      </c>
      <c r="J36" s="7" t="n">
        <v>73.4</v>
      </c>
      <c r="K36" s="7" t="s">
        <v>135</v>
      </c>
      <c r="L36" s="7" t="s">
        <v>441</v>
      </c>
      <c r="M36" s="7" t="s">
        <v>442</v>
      </c>
    </row>
    <row r="37" customFormat="false" ht="30" hidden="false" customHeight="true" outlineLevel="0" collapsed="false">
      <c r="A37" s="6" t="s">
        <v>63</v>
      </c>
      <c r="B37" s="6" t="s">
        <v>64</v>
      </c>
      <c r="C37" s="6" t="s">
        <v>372</v>
      </c>
      <c r="D37" s="6" t="s">
        <v>432</v>
      </c>
      <c r="E37" s="6" t="s">
        <v>443</v>
      </c>
      <c r="F37" s="6" t="s">
        <v>404</v>
      </c>
      <c r="G37" s="6" t="s">
        <v>396</v>
      </c>
      <c r="H37" s="6" t="s">
        <v>266</v>
      </c>
      <c r="I37" s="6" t="s">
        <v>121</v>
      </c>
      <c r="J37" s="6" t="n">
        <v>64.9</v>
      </c>
      <c r="K37" s="6" t="s">
        <v>135</v>
      </c>
      <c r="L37" s="6" t="s">
        <v>444</v>
      </c>
      <c r="M37" s="6" t="s">
        <v>445</v>
      </c>
    </row>
    <row r="38" customFormat="false" ht="30" hidden="false" customHeight="true" outlineLevel="0" collapsed="false">
      <c r="A38" s="7" t="s">
        <v>63</v>
      </c>
      <c r="B38" s="7" t="s">
        <v>64</v>
      </c>
      <c r="C38" s="7" t="s">
        <v>372</v>
      </c>
      <c r="D38" s="7" t="s">
        <v>432</v>
      </c>
      <c r="E38" s="7" t="s">
        <v>446</v>
      </c>
      <c r="F38" s="7" t="s">
        <v>404</v>
      </c>
      <c r="G38" s="7" t="s">
        <v>396</v>
      </c>
      <c r="H38" s="7" t="s">
        <v>272</v>
      </c>
      <c r="I38" s="7" t="s">
        <v>121</v>
      </c>
      <c r="J38" s="7" t="n">
        <v>64.4</v>
      </c>
      <c r="K38" s="7" t="s">
        <v>135</v>
      </c>
      <c r="L38" s="7" t="s">
        <v>447</v>
      </c>
      <c r="M38" s="7" t="s">
        <v>445</v>
      </c>
    </row>
    <row r="39" customFormat="false" ht="30" hidden="false" customHeight="true" outlineLevel="0" collapsed="false">
      <c r="A39" s="6" t="s">
        <v>67</v>
      </c>
      <c r="B39" s="6" t="s">
        <v>68</v>
      </c>
      <c r="C39" s="6" t="s">
        <v>377</v>
      </c>
      <c r="D39" s="6" t="s">
        <v>432</v>
      </c>
      <c r="E39" s="6" t="s">
        <v>448</v>
      </c>
      <c r="F39" s="6" t="s">
        <v>414</v>
      </c>
      <c r="G39" s="6" t="s">
        <v>396</v>
      </c>
      <c r="H39" s="6" t="s">
        <v>283</v>
      </c>
      <c r="I39" s="6" t="s">
        <v>121</v>
      </c>
      <c r="J39" s="6" t="n">
        <v>51.6</v>
      </c>
      <c r="K39" s="6" t="s">
        <v>119</v>
      </c>
      <c r="L39" s="6" t="s">
        <v>449</v>
      </c>
      <c r="M39" s="6" t="s">
        <v>450</v>
      </c>
    </row>
    <row r="40" customFormat="false" ht="30" hidden="false" customHeight="true" outlineLevel="0" collapsed="false">
      <c r="A40" s="7" t="s">
        <v>79</v>
      </c>
      <c r="B40" s="7" t="s">
        <v>80</v>
      </c>
      <c r="C40" s="7" t="s">
        <v>46</v>
      </c>
      <c r="D40" s="7" t="s">
        <v>432</v>
      </c>
      <c r="E40" s="7" t="s">
        <v>443</v>
      </c>
      <c r="F40" s="7" t="s">
        <v>404</v>
      </c>
      <c r="G40" s="7" t="s">
        <v>396</v>
      </c>
      <c r="H40" s="7" t="s">
        <v>266</v>
      </c>
      <c r="I40" s="7" t="s">
        <v>121</v>
      </c>
      <c r="J40" s="7" t="n">
        <v>64.9</v>
      </c>
      <c r="K40" s="7" t="s">
        <v>135</v>
      </c>
      <c r="L40" s="7" t="s">
        <v>444</v>
      </c>
      <c r="M40" s="7" t="s">
        <v>451</v>
      </c>
    </row>
    <row r="41" customFormat="false" ht="30" hidden="false" customHeight="true" outlineLevel="0" collapsed="false">
      <c r="A41" s="6" t="s">
        <v>79</v>
      </c>
      <c r="B41" s="6" t="s">
        <v>80</v>
      </c>
      <c r="C41" s="6" t="s">
        <v>46</v>
      </c>
      <c r="D41" s="6" t="s">
        <v>432</v>
      </c>
      <c r="E41" s="6" t="s">
        <v>446</v>
      </c>
      <c r="F41" s="6" t="s">
        <v>404</v>
      </c>
      <c r="G41" s="6" t="s">
        <v>396</v>
      </c>
      <c r="H41" s="6" t="s">
        <v>272</v>
      </c>
      <c r="I41" s="6" t="s">
        <v>121</v>
      </c>
      <c r="J41" s="6" t="n">
        <v>64.4</v>
      </c>
      <c r="K41" s="6" t="s">
        <v>135</v>
      </c>
      <c r="L41" s="6" t="s">
        <v>447</v>
      </c>
      <c r="M41" s="6" t="s">
        <v>451</v>
      </c>
    </row>
    <row r="42" customFormat="false" ht="33.75" hidden="false" customHeight="true" outlineLevel="0" collapsed="false">
      <c r="A42" s="7" t="s">
        <v>79</v>
      </c>
      <c r="B42" s="7" t="s">
        <v>80</v>
      </c>
      <c r="C42" s="7" t="s">
        <v>46</v>
      </c>
      <c r="D42" s="7" t="s">
        <v>432</v>
      </c>
      <c r="E42" s="7" t="s">
        <v>452</v>
      </c>
      <c r="F42" s="7" t="s">
        <v>386</v>
      </c>
      <c r="G42" s="7" t="s">
        <v>396</v>
      </c>
      <c r="H42" s="7" t="s">
        <v>453</v>
      </c>
      <c r="I42" s="7" t="s">
        <v>454</v>
      </c>
      <c r="J42" s="7"/>
      <c r="K42" s="7" t="s">
        <v>455</v>
      </c>
      <c r="L42" s="7" t="s">
        <v>456</v>
      </c>
      <c r="M42" s="7" t="s">
        <v>457</v>
      </c>
    </row>
    <row r="43" customFormat="false" ht="33.75" hidden="false" customHeight="true" outlineLevel="0" collapsed="false">
      <c r="A43" s="6" t="s">
        <v>71</v>
      </c>
      <c r="B43" s="6" t="s">
        <v>72</v>
      </c>
      <c r="C43" s="6" t="s">
        <v>39</v>
      </c>
      <c r="D43" s="6" t="s">
        <v>432</v>
      </c>
      <c r="E43" s="6" t="s">
        <v>458</v>
      </c>
      <c r="F43" s="6" t="s">
        <v>420</v>
      </c>
      <c r="G43" s="6" t="s">
        <v>396</v>
      </c>
      <c r="H43" s="6" t="s">
        <v>453</v>
      </c>
      <c r="I43" s="6" t="s">
        <v>454</v>
      </c>
      <c r="J43" s="6"/>
      <c r="K43" s="6" t="s">
        <v>455</v>
      </c>
      <c r="L43" s="6" t="s">
        <v>459</v>
      </c>
      <c r="M43" s="6" t="s">
        <v>457</v>
      </c>
    </row>
  </sheetData>
  <autoFilter ref="A3:M43"/>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40"/>
    <col collapsed="false" customWidth="true" hidden="false" outlineLevel="0" max="4" min="4" style="0" width="52"/>
    <col collapsed="false" customWidth="true" hidden="false" outlineLevel="0" max="5" min="5" style="0" width="22"/>
    <col collapsed="false" customWidth="true" hidden="false" outlineLevel="0" max="6" min="6" style="0" width="44"/>
    <col collapsed="false" customWidth="true" hidden="false" outlineLevel="0" max="7" min="7" style="0" width="22"/>
  </cols>
  <sheetData>
    <row r="1" customFormat="false" ht="27.75" hidden="false" customHeight="true" outlineLevel="0" collapsed="false">
      <c r="A1" s="1" t="s">
        <v>460</v>
      </c>
      <c r="B1" s="1"/>
      <c r="C1" s="1"/>
      <c r="D1" s="1"/>
      <c r="E1" s="1"/>
      <c r="F1" s="1"/>
      <c r="G1" s="1"/>
    </row>
    <row r="2" customFormat="false" ht="43.5" hidden="false" customHeight="true" outlineLevel="0" collapsed="false">
      <c r="A2" s="2" t="s">
        <v>461</v>
      </c>
      <c r="B2" s="2"/>
      <c r="C2" s="2"/>
      <c r="D2" s="2"/>
      <c r="E2" s="2"/>
      <c r="F2" s="2"/>
      <c r="G2" s="2"/>
    </row>
    <row r="3" customFormat="false" ht="43.5" hidden="false" customHeight="true" outlineLevel="0" collapsed="false">
      <c r="A3" s="3" t="s">
        <v>462</v>
      </c>
      <c r="B3" s="3" t="s">
        <v>463</v>
      </c>
      <c r="C3" s="3" t="s">
        <v>464</v>
      </c>
      <c r="D3" s="3" t="s">
        <v>465</v>
      </c>
      <c r="E3" s="3" t="s">
        <v>466</v>
      </c>
      <c r="F3" s="3" t="s">
        <v>467</v>
      </c>
      <c r="G3" s="3" t="s">
        <v>468</v>
      </c>
    </row>
    <row r="4" customFormat="false" ht="63.75" hidden="false" customHeight="true" outlineLevel="0" collapsed="false">
      <c r="A4" s="7" t="n">
        <v>1</v>
      </c>
      <c r="B4" s="7" t="s">
        <v>469</v>
      </c>
      <c r="C4" s="7" t="s">
        <v>470</v>
      </c>
      <c r="D4" s="7" t="s">
        <v>471</v>
      </c>
      <c r="E4" s="7" t="s">
        <v>472</v>
      </c>
      <c r="F4" s="7" t="s">
        <v>473</v>
      </c>
      <c r="G4" s="7" t="s">
        <v>474</v>
      </c>
    </row>
    <row r="5" customFormat="false" ht="33.75" hidden="false" customHeight="true" outlineLevel="0" collapsed="false">
      <c r="A5" s="6" t="n">
        <v>2</v>
      </c>
      <c r="B5" s="6" t="s">
        <v>475</v>
      </c>
      <c r="C5" s="6" t="s">
        <v>476</v>
      </c>
      <c r="D5" s="6" t="s">
        <v>477</v>
      </c>
      <c r="E5" s="6" t="s">
        <v>478</v>
      </c>
      <c r="F5" s="6" t="s">
        <v>479</v>
      </c>
      <c r="G5" s="6" t="s">
        <v>474</v>
      </c>
    </row>
    <row r="6" customFormat="false" ht="48.75" hidden="false" customHeight="true" outlineLevel="0" collapsed="false">
      <c r="A6" s="7" t="n">
        <v>3</v>
      </c>
      <c r="B6" s="7" t="s">
        <v>480</v>
      </c>
      <c r="C6" s="7" t="s">
        <v>481</v>
      </c>
      <c r="D6" s="7" t="s">
        <v>482</v>
      </c>
      <c r="E6" s="7" t="s">
        <v>483</v>
      </c>
      <c r="F6" s="7" t="s">
        <v>484</v>
      </c>
      <c r="G6" s="7" t="s">
        <v>474</v>
      </c>
    </row>
    <row r="7" customFormat="false" ht="33.75" hidden="false" customHeight="true" outlineLevel="0" collapsed="false">
      <c r="A7" s="6" t="n">
        <v>4</v>
      </c>
      <c r="B7" s="6" t="s">
        <v>485</v>
      </c>
      <c r="C7" s="6" t="s">
        <v>486</v>
      </c>
      <c r="D7" s="6" t="s">
        <v>487</v>
      </c>
      <c r="E7" s="6" t="s">
        <v>488</v>
      </c>
      <c r="F7" s="6" t="s">
        <v>489</v>
      </c>
      <c r="G7" s="6" t="s">
        <v>474</v>
      </c>
    </row>
    <row r="8" customFormat="false" ht="48.75" hidden="false" customHeight="true" outlineLevel="0" collapsed="false">
      <c r="A8" s="7" t="n">
        <v>5</v>
      </c>
      <c r="B8" s="7" t="s">
        <v>490</v>
      </c>
      <c r="C8" s="7" t="s">
        <v>491</v>
      </c>
      <c r="D8" s="7" t="s">
        <v>492</v>
      </c>
      <c r="E8" s="7" t="s">
        <v>493</v>
      </c>
      <c r="F8" s="7" t="s">
        <v>494</v>
      </c>
      <c r="G8" s="7" t="s">
        <v>495</v>
      </c>
    </row>
    <row r="9" customFormat="false" ht="48.75" hidden="false" customHeight="true" outlineLevel="0" collapsed="false">
      <c r="A9" s="6" t="n">
        <v>6</v>
      </c>
      <c r="B9" s="6" t="s">
        <v>496</v>
      </c>
      <c r="C9" s="6" t="s">
        <v>497</v>
      </c>
      <c r="D9" s="6" t="s">
        <v>498</v>
      </c>
      <c r="E9" s="6" t="s">
        <v>499</v>
      </c>
      <c r="F9" s="6" t="s">
        <v>500</v>
      </c>
      <c r="G9" s="6" t="s">
        <v>501</v>
      </c>
    </row>
    <row r="10" customFormat="false" ht="48.75" hidden="false" customHeight="true" outlineLevel="0" collapsed="false">
      <c r="A10" s="7" t="n">
        <v>7</v>
      </c>
      <c r="B10" s="7" t="s">
        <v>502</v>
      </c>
      <c r="C10" s="7" t="s">
        <v>503</v>
      </c>
      <c r="D10" s="7" t="s">
        <v>504</v>
      </c>
      <c r="E10" s="7" t="s">
        <v>505</v>
      </c>
      <c r="F10" s="7" t="s">
        <v>506</v>
      </c>
      <c r="G10" s="7" t="s">
        <v>507</v>
      </c>
    </row>
    <row r="11" customFormat="false" ht="48.75" hidden="false" customHeight="true" outlineLevel="0" collapsed="false">
      <c r="A11" s="6" t="n">
        <v>8</v>
      </c>
      <c r="B11" s="6" t="s">
        <v>508</v>
      </c>
      <c r="C11" s="6" t="s">
        <v>509</v>
      </c>
      <c r="D11" s="6" t="s">
        <v>510</v>
      </c>
      <c r="E11" s="6" t="s">
        <v>511</v>
      </c>
      <c r="F11" s="6" t="s">
        <v>512</v>
      </c>
      <c r="G11" s="6" t="s">
        <v>454</v>
      </c>
    </row>
    <row r="12" customFormat="false" ht="33.75" hidden="false" customHeight="true" outlineLevel="0" collapsed="false">
      <c r="A12" s="7" t="n">
        <v>9</v>
      </c>
      <c r="B12" s="7" t="s">
        <v>513</v>
      </c>
      <c r="C12" s="7" t="s">
        <v>514</v>
      </c>
      <c r="D12" s="7" t="s">
        <v>515</v>
      </c>
      <c r="E12" s="7" t="s">
        <v>456</v>
      </c>
      <c r="F12" s="7" t="s">
        <v>516</v>
      </c>
      <c r="G12" s="7" t="s">
        <v>454</v>
      </c>
    </row>
    <row r="13" customFormat="false" ht="33.75" hidden="false" customHeight="true" outlineLevel="0" collapsed="false">
      <c r="A13" s="6" t="n">
        <v>10</v>
      </c>
      <c r="B13" s="6" t="s">
        <v>517</v>
      </c>
      <c r="C13" s="6" t="s">
        <v>518</v>
      </c>
      <c r="D13" s="6" t="s">
        <v>519</v>
      </c>
      <c r="E13" s="6" t="s">
        <v>441</v>
      </c>
      <c r="F13" s="6" t="s">
        <v>520</v>
      </c>
      <c r="G13" s="6" t="s">
        <v>521</v>
      </c>
    </row>
    <row r="14" customFormat="false" ht="33.75" hidden="false" customHeight="true" outlineLevel="0" collapsed="false">
      <c r="A14" s="7" t="n">
        <v>11</v>
      </c>
      <c r="B14" s="7" t="s">
        <v>522</v>
      </c>
      <c r="C14" s="7" t="s">
        <v>523</v>
      </c>
      <c r="D14" s="7" t="s">
        <v>524</v>
      </c>
      <c r="E14" s="7" t="s">
        <v>365</v>
      </c>
      <c r="F14" s="7" t="s">
        <v>525</v>
      </c>
      <c r="G14" s="7" t="s">
        <v>526</v>
      </c>
    </row>
  </sheetData>
  <autoFilter ref="A3:G14"/>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4"/>
    <col collapsed="false" customWidth="true" hidden="false" outlineLevel="0" max="3" min="3" style="0" width="26"/>
    <col collapsed="false" customWidth="true" hidden="false" outlineLevel="0" max="4" min="4" style="0" width="24"/>
    <col collapsed="false" customWidth="true" hidden="false" outlineLevel="0" max="5" min="5" style="0" width="28"/>
    <col collapsed="false" customWidth="true" hidden="false" outlineLevel="0" max="6" min="6" style="0" width="52"/>
    <col collapsed="false" customWidth="true" hidden="false" outlineLevel="0" max="7" min="7" style="0" width="20"/>
    <col collapsed="false" customWidth="true" hidden="false" outlineLevel="0" max="8" min="8" style="0" width="28"/>
  </cols>
  <sheetData>
    <row r="1" customFormat="false" ht="27.75" hidden="false" customHeight="true" outlineLevel="0" collapsed="false">
      <c r="A1" s="1" t="s">
        <v>527</v>
      </c>
      <c r="B1" s="1"/>
      <c r="C1" s="1"/>
      <c r="D1" s="1"/>
      <c r="E1" s="1"/>
      <c r="F1" s="1"/>
      <c r="G1" s="1"/>
      <c r="H1" s="1"/>
    </row>
    <row r="2" customFormat="false" ht="31.5" hidden="false" customHeight="true" outlineLevel="0" collapsed="false">
      <c r="A2" s="2" t="s">
        <v>528</v>
      </c>
      <c r="B2" s="2"/>
      <c r="C2" s="2"/>
      <c r="D2" s="2"/>
      <c r="E2" s="2"/>
      <c r="F2" s="2"/>
      <c r="G2" s="2"/>
      <c r="H2" s="2"/>
    </row>
    <row r="3" customFormat="false" ht="31.5" hidden="false" customHeight="true" outlineLevel="0" collapsed="false">
      <c r="A3" s="3" t="s">
        <v>529</v>
      </c>
      <c r="B3" s="3" t="s">
        <v>530</v>
      </c>
      <c r="C3" s="3" t="s">
        <v>531</v>
      </c>
      <c r="D3" s="3" t="s">
        <v>532</v>
      </c>
      <c r="E3" s="3" t="s">
        <v>533</v>
      </c>
      <c r="F3" s="3" t="s">
        <v>534</v>
      </c>
      <c r="G3" s="3" t="s">
        <v>535</v>
      </c>
      <c r="H3" s="3" t="s">
        <v>536</v>
      </c>
    </row>
    <row r="4" customFormat="false" ht="24" hidden="false" customHeight="true" outlineLevel="0" collapsed="false">
      <c r="A4" s="4" t="s">
        <v>537</v>
      </c>
      <c r="B4" s="4" t="s">
        <v>538</v>
      </c>
      <c r="C4" s="4" t="s">
        <v>539</v>
      </c>
      <c r="D4" s="4" t="s">
        <v>540</v>
      </c>
      <c r="E4" s="4" t="s">
        <v>541</v>
      </c>
      <c r="F4" s="4" t="s">
        <v>542</v>
      </c>
      <c r="G4" s="4" t="s">
        <v>543</v>
      </c>
      <c r="H4" s="4" t="s">
        <v>544</v>
      </c>
    </row>
    <row r="5" customFormat="false" ht="24" hidden="false" customHeight="true" outlineLevel="0" collapsed="false">
      <c r="A5" s="5" t="s">
        <v>545</v>
      </c>
      <c r="B5" s="5" t="s">
        <v>546</v>
      </c>
      <c r="C5" s="5" t="s">
        <v>547</v>
      </c>
      <c r="D5" s="5" t="s">
        <v>548</v>
      </c>
      <c r="E5" s="5" t="s">
        <v>549</v>
      </c>
      <c r="F5" s="5" t="s">
        <v>550</v>
      </c>
      <c r="G5" s="5" t="s">
        <v>543</v>
      </c>
      <c r="H5" s="5" t="s">
        <v>551</v>
      </c>
    </row>
    <row r="6" customFormat="false" ht="24" hidden="false" customHeight="true" outlineLevel="0" collapsed="false">
      <c r="A6" s="4" t="s">
        <v>552</v>
      </c>
      <c r="B6" s="4" t="s">
        <v>538</v>
      </c>
      <c r="C6" s="4" t="s">
        <v>539</v>
      </c>
      <c r="D6" s="4" t="s">
        <v>553</v>
      </c>
      <c r="E6" s="4" t="s">
        <v>541</v>
      </c>
      <c r="F6" s="4" t="s">
        <v>554</v>
      </c>
      <c r="G6" s="4" t="s">
        <v>543</v>
      </c>
      <c r="H6" s="4" t="s">
        <v>555</v>
      </c>
    </row>
    <row r="7" customFormat="false" ht="24" hidden="false" customHeight="true" outlineLevel="0" collapsed="false">
      <c r="A7" s="5" t="s">
        <v>556</v>
      </c>
      <c r="B7" s="5" t="s">
        <v>546</v>
      </c>
      <c r="C7" s="5" t="s">
        <v>547</v>
      </c>
      <c r="D7" s="5" t="s">
        <v>557</v>
      </c>
      <c r="E7" s="5" t="s">
        <v>549</v>
      </c>
      <c r="F7" s="5" t="s">
        <v>558</v>
      </c>
      <c r="G7" s="5" t="s">
        <v>543</v>
      </c>
      <c r="H7" s="5" t="s">
        <v>559</v>
      </c>
    </row>
    <row r="8" customFormat="false" ht="24" hidden="false" customHeight="true" outlineLevel="0" collapsed="false">
      <c r="A8" s="4" t="s">
        <v>560</v>
      </c>
      <c r="B8" s="4" t="s">
        <v>538</v>
      </c>
      <c r="C8" s="4" t="s">
        <v>539</v>
      </c>
      <c r="D8" s="4" t="s">
        <v>561</v>
      </c>
      <c r="E8" s="4" t="s">
        <v>562</v>
      </c>
      <c r="F8" s="4" t="s">
        <v>563</v>
      </c>
      <c r="G8" s="4" t="s">
        <v>543</v>
      </c>
      <c r="H8" s="4" t="s">
        <v>564</v>
      </c>
    </row>
    <row r="9" customFormat="false" ht="24" hidden="false" customHeight="true" outlineLevel="0" collapsed="false">
      <c r="A9" s="5" t="s">
        <v>565</v>
      </c>
      <c r="B9" s="5" t="s">
        <v>546</v>
      </c>
      <c r="C9" s="5" t="s">
        <v>547</v>
      </c>
      <c r="D9" s="5" t="s">
        <v>566</v>
      </c>
      <c r="E9" s="5" t="s">
        <v>567</v>
      </c>
      <c r="F9" s="5" t="s">
        <v>568</v>
      </c>
      <c r="G9" s="5" t="s">
        <v>543</v>
      </c>
      <c r="H9" s="5" t="s">
        <v>569</v>
      </c>
    </row>
    <row r="10" customFormat="false" ht="24" hidden="false" customHeight="true" outlineLevel="0" collapsed="false">
      <c r="A10" s="4" t="s">
        <v>570</v>
      </c>
      <c r="B10" s="4" t="s">
        <v>538</v>
      </c>
      <c r="C10" s="4" t="s">
        <v>539</v>
      </c>
      <c r="D10" s="4" t="s">
        <v>571</v>
      </c>
      <c r="E10" s="4" t="s">
        <v>562</v>
      </c>
      <c r="F10" s="4" t="s">
        <v>572</v>
      </c>
      <c r="G10" s="4" t="s">
        <v>543</v>
      </c>
      <c r="H10" s="4" t="s">
        <v>573</v>
      </c>
    </row>
    <row r="11" customFormat="false" ht="24" hidden="false" customHeight="true" outlineLevel="0" collapsed="false">
      <c r="A11" s="5" t="s">
        <v>574</v>
      </c>
      <c r="B11" s="5" t="s">
        <v>546</v>
      </c>
      <c r="C11" s="5" t="s">
        <v>547</v>
      </c>
      <c r="D11" s="5" t="s">
        <v>575</v>
      </c>
      <c r="E11" s="5" t="s">
        <v>567</v>
      </c>
      <c r="F11" s="5" t="s">
        <v>576</v>
      </c>
      <c r="G11" s="5" t="s">
        <v>543</v>
      </c>
      <c r="H11" s="5" t="s">
        <v>577</v>
      </c>
    </row>
    <row r="12" customFormat="false" ht="24" hidden="false" customHeight="true" outlineLevel="0" collapsed="false">
      <c r="A12" s="4" t="s">
        <v>578</v>
      </c>
      <c r="B12" s="4" t="s">
        <v>538</v>
      </c>
      <c r="C12" s="4" t="s">
        <v>539</v>
      </c>
      <c r="D12" s="4" t="s">
        <v>579</v>
      </c>
      <c r="E12" s="4" t="s">
        <v>580</v>
      </c>
      <c r="F12" s="4" t="s">
        <v>581</v>
      </c>
      <c r="G12" s="4" t="s">
        <v>543</v>
      </c>
      <c r="H12" s="4" t="s">
        <v>582</v>
      </c>
    </row>
    <row r="13" customFormat="false" ht="24" hidden="false" customHeight="true" outlineLevel="0" collapsed="false">
      <c r="A13" s="5" t="s">
        <v>583</v>
      </c>
      <c r="B13" s="5" t="s">
        <v>546</v>
      </c>
      <c r="C13" s="5" t="s">
        <v>547</v>
      </c>
      <c r="D13" s="5" t="s">
        <v>584</v>
      </c>
      <c r="E13" s="5" t="s">
        <v>585</v>
      </c>
      <c r="F13" s="5" t="s">
        <v>586</v>
      </c>
      <c r="G13" s="5" t="s">
        <v>543</v>
      </c>
      <c r="H13" s="5" t="s">
        <v>587</v>
      </c>
    </row>
    <row r="14" customFormat="false" ht="24" hidden="false" customHeight="true" outlineLevel="0" collapsed="false">
      <c r="A14" s="4" t="s">
        <v>588</v>
      </c>
      <c r="B14" s="4" t="s">
        <v>538</v>
      </c>
      <c r="C14" s="4" t="s">
        <v>539</v>
      </c>
      <c r="D14" s="4" t="s">
        <v>589</v>
      </c>
      <c r="E14" s="4" t="s">
        <v>590</v>
      </c>
      <c r="F14" s="4" t="s">
        <v>591</v>
      </c>
      <c r="G14" s="4" t="s">
        <v>543</v>
      </c>
      <c r="H14" s="4" t="s">
        <v>592</v>
      </c>
    </row>
    <row r="15" customFormat="false" ht="24" hidden="false" customHeight="true" outlineLevel="0" collapsed="false">
      <c r="A15" s="5" t="s">
        <v>593</v>
      </c>
      <c r="B15" s="5" t="s">
        <v>546</v>
      </c>
      <c r="C15" s="5" t="s">
        <v>547</v>
      </c>
      <c r="D15" s="5" t="s">
        <v>594</v>
      </c>
      <c r="E15" s="5" t="s">
        <v>595</v>
      </c>
      <c r="F15" s="5" t="s">
        <v>596</v>
      </c>
      <c r="G15" s="5" t="s">
        <v>543</v>
      </c>
      <c r="H15" s="5" t="s">
        <v>597</v>
      </c>
    </row>
    <row r="16" customFormat="false" ht="24" hidden="false" customHeight="true" outlineLevel="0" collapsed="false">
      <c r="A16" s="4" t="s">
        <v>598</v>
      </c>
      <c r="B16" s="4" t="s">
        <v>538</v>
      </c>
      <c r="C16" s="4" t="s">
        <v>539</v>
      </c>
      <c r="D16" s="4" t="s">
        <v>599</v>
      </c>
      <c r="E16" s="4" t="s">
        <v>600</v>
      </c>
      <c r="F16" s="4" t="s">
        <v>601</v>
      </c>
      <c r="G16" s="4" t="s">
        <v>543</v>
      </c>
      <c r="H16" s="4" t="s">
        <v>602</v>
      </c>
    </row>
    <row r="17" customFormat="false" ht="24" hidden="false" customHeight="true" outlineLevel="0" collapsed="false">
      <c r="A17" s="5" t="s">
        <v>603</v>
      </c>
      <c r="B17" s="5" t="s">
        <v>546</v>
      </c>
      <c r="C17" s="5" t="s">
        <v>547</v>
      </c>
      <c r="D17" s="5" t="s">
        <v>604</v>
      </c>
      <c r="E17" s="5" t="s">
        <v>605</v>
      </c>
      <c r="F17" s="5" t="s">
        <v>606</v>
      </c>
      <c r="G17" s="5" t="s">
        <v>543</v>
      </c>
      <c r="H17" s="5" t="s">
        <v>607</v>
      </c>
    </row>
    <row r="18" customFormat="false" ht="24" hidden="false" customHeight="true" outlineLevel="0" collapsed="false">
      <c r="A18" s="4" t="s">
        <v>608</v>
      </c>
      <c r="B18" s="4" t="s">
        <v>538</v>
      </c>
      <c r="C18" s="4" t="s">
        <v>539</v>
      </c>
      <c r="D18" s="4" t="s">
        <v>609</v>
      </c>
      <c r="E18" s="4" t="s">
        <v>610</v>
      </c>
      <c r="F18" s="4" t="s">
        <v>611</v>
      </c>
      <c r="G18" s="4" t="s">
        <v>543</v>
      </c>
      <c r="H18" s="4" t="s">
        <v>612</v>
      </c>
    </row>
    <row r="19" customFormat="false" ht="24" hidden="false" customHeight="true" outlineLevel="0" collapsed="false">
      <c r="A19" s="5" t="s">
        <v>613</v>
      </c>
      <c r="B19" s="5" t="s">
        <v>546</v>
      </c>
      <c r="C19" s="5" t="s">
        <v>547</v>
      </c>
      <c r="D19" s="5" t="s">
        <v>614</v>
      </c>
      <c r="E19" s="5" t="s">
        <v>615</v>
      </c>
      <c r="F19" s="5" t="s">
        <v>616</v>
      </c>
      <c r="G19" s="5" t="s">
        <v>543</v>
      </c>
      <c r="H19" s="5" t="s">
        <v>617</v>
      </c>
    </row>
    <row r="20" customFormat="false" ht="24" hidden="false" customHeight="true" outlineLevel="0" collapsed="false">
      <c r="A20" s="4" t="s">
        <v>618</v>
      </c>
      <c r="B20" s="4" t="s">
        <v>538</v>
      </c>
      <c r="C20" s="4" t="s">
        <v>539</v>
      </c>
      <c r="D20" s="4" t="s">
        <v>619</v>
      </c>
      <c r="E20" s="4" t="s">
        <v>620</v>
      </c>
      <c r="F20" s="4" t="s">
        <v>621</v>
      </c>
      <c r="G20" s="4" t="s">
        <v>543</v>
      </c>
      <c r="H20" s="4" t="s">
        <v>622</v>
      </c>
    </row>
    <row r="21" customFormat="false" ht="24" hidden="false" customHeight="true" outlineLevel="0" collapsed="false">
      <c r="A21" s="5" t="s">
        <v>623</v>
      </c>
      <c r="B21" s="5" t="s">
        <v>546</v>
      </c>
      <c r="C21" s="5" t="s">
        <v>547</v>
      </c>
      <c r="D21" s="5" t="s">
        <v>624</v>
      </c>
      <c r="E21" s="5" t="s">
        <v>625</v>
      </c>
      <c r="F21" s="5" t="s">
        <v>626</v>
      </c>
      <c r="G21" s="5" t="s">
        <v>543</v>
      </c>
      <c r="H21" s="5" t="s">
        <v>627</v>
      </c>
    </row>
    <row r="22" customFormat="false" ht="24" hidden="false" customHeight="true" outlineLevel="0" collapsed="false">
      <c r="A22" s="4" t="s">
        <v>628</v>
      </c>
      <c r="B22" s="4" t="s">
        <v>538</v>
      </c>
      <c r="C22" s="4" t="s">
        <v>539</v>
      </c>
      <c r="D22" s="4" t="s">
        <v>629</v>
      </c>
      <c r="E22" s="4" t="s">
        <v>630</v>
      </c>
      <c r="F22" s="4" t="s">
        <v>631</v>
      </c>
      <c r="G22" s="4" t="s">
        <v>543</v>
      </c>
      <c r="H22" s="4" t="s">
        <v>632</v>
      </c>
    </row>
    <row r="23" customFormat="false" ht="24" hidden="false" customHeight="true" outlineLevel="0" collapsed="false">
      <c r="A23" s="5" t="s">
        <v>633</v>
      </c>
      <c r="B23" s="5" t="s">
        <v>546</v>
      </c>
      <c r="C23" s="5" t="s">
        <v>547</v>
      </c>
      <c r="D23" s="5" t="s">
        <v>634</v>
      </c>
      <c r="E23" s="5" t="s">
        <v>635</v>
      </c>
      <c r="F23" s="5" t="s">
        <v>636</v>
      </c>
      <c r="G23" s="5" t="s">
        <v>543</v>
      </c>
      <c r="H23" s="5" t="s">
        <v>637</v>
      </c>
    </row>
    <row r="24" customFormat="false" ht="24" hidden="false" customHeight="true" outlineLevel="0" collapsed="false">
      <c r="A24" s="4" t="s">
        <v>638</v>
      </c>
      <c r="B24" s="4" t="s">
        <v>538</v>
      </c>
      <c r="C24" s="4" t="s">
        <v>539</v>
      </c>
      <c r="D24" s="4" t="s">
        <v>639</v>
      </c>
      <c r="E24" s="4" t="s">
        <v>640</v>
      </c>
      <c r="F24" s="4" t="s">
        <v>641</v>
      </c>
      <c r="G24" s="4" t="s">
        <v>543</v>
      </c>
      <c r="H24" s="4" t="s">
        <v>642</v>
      </c>
    </row>
    <row r="25" customFormat="false" ht="24" hidden="false" customHeight="true" outlineLevel="0" collapsed="false">
      <c r="A25" s="5" t="s">
        <v>643</v>
      </c>
      <c r="B25" s="5" t="s">
        <v>538</v>
      </c>
      <c r="C25" s="5" t="s">
        <v>539</v>
      </c>
      <c r="D25" s="5" t="s">
        <v>644</v>
      </c>
      <c r="E25" s="5" t="s">
        <v>645</v>
      </c>
      <c r="F25" s="5" t="s">
        <v>646</v>
      </c>
      <c r="G25" s="5" t="s">
        <v>543</v>
      </c>
      <c r="H25" s="5" t="s">
        <v>647</v>
      </c>
    </row>
    <row r="26" customFormat="false" ht="24" hidden="false" customHeight="true" outlineLevel="0" collapsed="false">
      <c r="A26" s="4" t="s">
        <v>648</v>
      </c>
      <c r="B26" s="4" t="s">
        <v>538</v>
      </c>
      <c r="C26" s="4" t="s">
        <v>539</v>
      </c>
      <c r="D26" s="4" t="s">
        <v>649</v>
      </c>
      <c r="E26" s="4" t="s">
        <v>650</v>
      </c>
      <c r="F26" s="4" t="s">
        <v>651</v>
      </c>
      <c r="G26" s="4" t="s">
        <v>543</v>
      </c>
      <c r="H26" s="4" t="s">
        <v>652</v>
      </c>
    </row>
    <row r="27" customFormat="false" ht="24" hidden="false" customHeight="true" outlineLevel="0" collapsed="false">
      <c r="A27" s="5" t="s">
        <v>653</v>
      </c>
      <c r="B27" s="5" t="s">
        <v>538</v>
      </c>
      <c r="C27" s="5" t="s">
        <v>539</v>
      </c>
      <c r="D27" s="5" t="s">
        <v>654</v>
      </c>
      <c r="E27" s="5" t="s">
        <v>655</v>
      </c>
      <c r="F27" s="5" t="s">
        <v>656</v>
      </c>
      <c r="G27" s="5" t="s">
        <v>543</v>
      </c>
      <c r="H27" s="5" t="s">
        <v>657</v>
      </c>
    </row>
    <row r="28" customFormat="false" ht="24" hidden="false" customHeight="true" outlineLevel="0" collapsed="false">
      <c r="A28" s="4" t="s">
        <v>658</v>
      </c>
      <c r="B28" s="4" t="s">
        <v>538</v>
      </c>
      <c r="C28" s="4" t="s">
        <v>539</v>
      </c>
      <c r="D28" s="4" t="s">
        <v>659</v>
      </c>
      <c r="E28" s="4" t="s">
        <v>660</v>
      </c>
      <c r="F28" s="4" t="s">
        <v>661</v>
      </c>
      <c r="G28" s="4" t="s">
        <v>543</v>
      </c>
      <c r="H28" s="4" t="s">
        <v>662</v>
      </c>
    </row>
    <row r="29" customFormat="false" ht="24" hidden="false" customHeight="true" outlineLevel="0" collapsed="false">
      <c r="A29" s="5" t="s">
        <v>409</v>
      </c>
      <c r="B29" s="5" t="s">
        <v>538</v>
      </c>
      <c r="C29" s="5" t="s">
        <v>539</v>
      </c>
      <c r="D29" s="5" t="s">
        <v>663</v>
      </c>
      <c r="E29" s="5" t="s">
        <v>664</v>
      </c>
      <c r="F29" s="5" t="s">
        <v>665</v>
      </c>
      <c r="G29" s="5" t="s">
        <v>543</v>
      </c>
      <c r="H29" s="5" t="s">
        <v>666</v>
      </c>
    </row>
    <row r="30" customFormat="false" ht="24" hidden="false" customHeight="true" outlineLevel="0" collapsed="false">
      <c r="A30" s="4" t="s">
        <v>430</v>
      </c>
      <c r="B30" s="4" t="s">
        <v>538</v>
      </c>
      <c r="C30" s="4" t="s">
        <v>539</v>
      </c>
      <c r="D30" s="4" t="s">
        <v>667</v>
      </c>
      <c r="E30" s="4" t="s">
        <v>668</v>
      </c>
      <c r="F30" s="4" t="s">
        <v>669</v>
      </c>
      <c r="G30" s="4" t="s">
        <v>543</v>
      </c>
      <c r="H30" s="4" t="s">
        <v>670</v>
      </c>
    </row>
    <row r="31" customFormat="false" ht="24" hidden="false" customHeight="true" outlineLevel="0" collapsed="false">
      <c r="A31" s="5" t="s">
        <v>671</v>
      </c>
      <c r="B31" s="5" t="s">
        <v>538</v>
      </c>
      <c r="C31" s="5" t="s">
        <v>539</v>
      </c>
      <c r="D31" s="5" t="s">
        <v>672</v>
      </c>
      <c r="E31" s="5" t="s">
        <v>673</v>
      </c>
      <c r="F31" s="5" t="s">
        <v>674</v>
      </c>
      <c r="G31" s="5" t="s">
        <v>543</v>
      </c>
      <c r="H31" s="5" t="s">
        <v>675</v>
      </c>
    </row>
    <row r="32" customFormat="false" ht="24" hidden="false" customHeight="true" outlineLevel="0" collapsed="false">
      <c r="A32" s="4" t="s">
        <v>676</v>
      </c>
      <c r="B32" s="4" t="s">
        <v>538</v>
      </c>
      <c r="C32" s="4" t="s">
        <v>539</v>
      </c>
      <c r="D32" s="4" t="s">
        <v>677</v>
      </c>
      <c r="E32" s="4" t="s">
        <v>678</v>
      </c>
      <c r="F32" s="4" t="s">
        <v>679</v>
      </c>
      <c r="G32" s="4" t="s">
        <v>543</v>
      </c>
      <c r="H32" s="4" t="s">
        <v>680</v>
      </c>
    </row>
    <row r="33" customFormat="false" ht="24" hidden="false" customHeight="true" outlineLevel="0" collapsed="false">
      <c r="A33" s="5" t="s">
        <v>415</v>
      </c>
      <c r="B33" s="5" t="s">
        <v>538</v>
      </c>
      <c r="C33" s="5" t="s">
        <v>539</v>
      </c>
      <c r="D33" s="5" t="s">
        <v>681</v>
      </c>
      <c r="E33" s="5" t="s">
        <v>682</v>
      </c>
      <c r="F33" s="5" t="s">
        <v>683</v>
      </c>
      <c r="G33" s="5" t="s">
        <v>543</v>
      </c>
      <c r="H33" s="5" t="s">
        <v>684</v>
      </c>
    </row>
    <row r="34" customFormat="false" ht="24" hidden="false" customHeight="true" outlineLevel="0" collapsed="false">
      <c r="A34" s="4" t="s">
        <v>418</v>
      </c>
      <c r="B34" s="4" t="s">
        <v>538</v>
      </c>
      <c r="C34" s="4" t="s">
        <v>539</v>
      </c>
      <c r="D34" s="4" t="s">
        <v>685</v>
      </c>
      <c r="E34" s="4" t="s">
        <v>686</v>
      </c>
      <c r="F34" s="4" t="s">
        <v>687</v>
      </c>
      <c r="G34" s="4" t="s">
        <v>543</v>
      </c>
      <c r="H34" s="4" t="s">
        <v>688</v>
      </c>
    </row>
    <row r="35" customFormat="false" ht="24" hidden="false" customHeight="true" outlineLevel="0" collapsed="false">
      <c r="A35" s="5" t="s">
        <v>689</v>
      </c>
      <c r="B35" s="5" t="s">
        <v>538</v>
      </c>
      <c r="C35" s="5" t="s">
        <v>539</v>
      </c>
      <c r="D35" s="5" t="s">
        <v>690</v>
      </c>
      <c r="E35" s="5" t="s">
        <v>691</v>
      </c>
      <c r="F35" s="5" t="s">
        <v>692</v>
      </c>
      <c r="G35" s="5" t="s">
        <v>543</v>
      </c>
      <c r="H35" s="5" t="s">
        <v>693</v>
      </c>
    </row>
    <row r="36" customFormat="false" ht="24" hidden="false" customHeight="true" outlineLevel="0" collapsed="false">
      <c r="A36" s="4" t="s">
        <v>694</v>
      </c>
      <c r="B36" s="4" t="s">
        <v>538</v>
      </c>
      <c r="C36" s="4" t="s">
        <v>539</v>
      </c>
      <c r="D36" s="4" t="s">
        <v>695</v>
      </c>
      <c r="E36" s="4" t="s">
        <v>696</v>
      </c>
      <c r="F36" s="4" t="s">
        <v>697</v>
      </c>
      <c r="G36" s="4" t="s">
        <v>543</v>
      </c>
      <c r="H36" s="4" t="s">
        <v>698</v>
      </c>
    </row>
    <row r="37" customFormat="false" ht="24" hidden="false" customHeight="true" outlineLevel="0" collapsed="false">
      <c r="A37" s="5" t="s">
        <v>424</v>
      </c>
      <c r="B37" s="5" t="s">
        <v>538</v>
      </c>
      <c r="C37" s="5" t="s">
        <v>539</v>
      </c>
      <c r="D37" s="5" t="s">
        <v>699</v>
      </c>
      <c r="E37" s="5" t="s">
        <v>700</v>
      </c>
      <c r="F37" s="5" t="s">
        <v>701</v>
      </c>
      <c r="G37" s="5" t="s">
        <v>543</v>
      </c>
      <c r="H37" s="5" t="s">
        <v>702</v>
      </c>
    </row>
    <row r="38" customFormat="false" ht="24" hidden="false" customHeight="true" outlineLevel="0" collapsed="false">
      <c r="A38" s="4" t="s">
        <v>421</v>
      </c>
      <c r="B38" s="4" t="s">
        <v>538</v>
      </c>
      <c r="C38" s="4" t="s">
        <v>539</v>
      </c>
      <c r="D38" s="4" t="s">
        <v>703</v>
      </c>
      <c r="E38" s="4" t="s">
        <v>704</v>
      </c>
      <c r="F38" s="4" t="s">
        <v>705</v>
      </c>
      <c r="G38" s="4" t="s">
        <v>543</v>
      </c>
      <c r="H38" s="4" t="s">
        <v>706</v>
      </c>
    </row>
    <row r="39" customFormat="false" ht="24" hidden="false" customHeight="true" outlineLevel="0" collapsed="false">
      <c r="A39" s="5" t="s">
        <v>412</v>
      </c>
      <c r="B39" s="5" t="s">
        <v>538</v>
      </c>
      <c r="C39" s="5" t="s">
        <v>539</v>
      </c>
      <c r="D39" s="5" t="s">
        <v>707</v>
      </c>
      <c r="E39" s="5" t="s">
        <v>708</v>
      </c>
      <c r="F39" s="5" t="s">
        <v>709</v>
      </c>
      <c r="G39" s="5" t="s">
        <v>543</v>
      </c>
      <c r="H39" s="5" t="s">
        <v>710</v>
      </c>
    </row>
    <row r="40" customFormat="false" ht="24" hidden="false" customHeight="true" outlineLevel="0" collapsed="false">
      <c r="A40" s="4" t="s">
        <v>434</v>
      </c>
      <c r="B40" s="4" t="s">
        <v>538</v>
      </c>
      <c r="C40" s="4" t="s">
        <v>539</v>
      </c>
      <c r="D40" s="4" t="s">
        <v>711</v>
      </c>
      <c r="E40" s="4" t="s">
        <v>712</v>
      </c>
      <c r="F40" s="4" t="s">
        <v>713</v>
      </c>
      <c r="G40" s="4" t="s">
        <v>543</v>
      </c>
      <c r="H40" s="4" t="s">
        <v>714</v>
      </c>
    </row>
    <row r="41" customFormat="false" ht="24" hidden="false" customHeight="true" outlineLevel="0" collapsed="false">
      <c r="A41" s="5" t="s">
        <v>441</v>
      </c>
      <c r="B41" s="5" t="s">
        <v>538</v>
      </c>
      <c r="C41" s="5" t="s">
        <v>715</v>
      </c>
      <c r="D41" s="5" t="s">
        <v>716</v>
      </c>
      <c r="E41" s="5" t="s">
        <v>717</v>
      </c>
      <c r="F41" s="5" t="s">
        <v>718</v>
      </c>
      <c r="G41" s="5" t="s">
        <v>543</v>
      </c>
      <c r="H41" s="5" t="s">
        <v>719</v>
      </c>
    </row>
    <row r="42" customFormat="false" ht="24" hidden="false" customHeight="true" outlineLevel="0" collapsed="false">
      <c r="A42" s="4" t="s">
        <v>444</v>
      </c>
      <c r="B42" s="4" t="s">
        <v>538</v>
      </c>
      <c r="C42" s="4" t="s">
        <v>539</v>
      </c>
      <c r="D42" s="4" t="s">
        <v>720</v>
      </c>
      <c r="E42" s="4" t="s">
        <v>721</v>
      </c>
      <c r="F42" s="4" t="s">
        <v>722</v>
      </c>
      <c r="G42" s="4" t="s">
        <v>543</v>
      </c>
      <c r="H42" s="4" t="s">
        <v>723</v>
      </c>
    </row>
    <row r="43" customFormat="false" ht="24" hidden="false" customHeight="true" outlineLevel="0" collapsed="false">
      <c r="A43" s="5" t="s">
        <v>447</v>
      </c>
      <c r="B43" s="5" t="s">
        <v>538</v>
      </c>
      <c r="C43" s="5" t="s">
        <v>539</v>
      </c>
      <c r="D43" s="5" t="s">
        <v>724</v>
      </c>
      <c r="E43" s="5" t="s">
        <v>725</v>
      </c>
      <c r="F43" s="5" t="s">
        <v>726</v>
      </c>
      <c r="G43" s="5" t="s">
        <v>543</v>
      </c>
      <c r="H43" s="5" t="s">
        <v>727</v>
      </c>
    </row>
    <row r="44" customFormat="false" ht="24" hidden="false" customHeight="true" outlineLevel="0" collapsed="false">
      <c r="A44" s="4" t="s">
        <v>438</v>
      </c>
      <c r="B44" s="4" t="s">
        <v>538</v>
      </c>
      <c r="C44" s="4" t="s">
        <v>539</v>
      </c>
      <c r="D44" s="4" t="s">
        <v>728</v>
      </c>
      <c r="E44" s="4" t="s">
        <v>729</v>
      </c>
      <c r="F44" s="4" t="s">
        <v>730</v>
      </c>
      <c r="G44" s="4" t="s">
        <v>543</v>
      </c>
      <c r="H44" s="4" t="s">
        <v>731</v>
      </c>
    </row>
    <row r="45" customFormat="false" ht="24" hidden="false" customHeight="true" outlineLevel="0" collapsed="false">
      <c r="A45" s="5" t="s">
        <v>449</v>
      </c>
      <c r="B45" s="5" t="s">
        <v>538</v>
      </c>
      <c r="C45" s="5" t="s">
        <v>539</v>
      </c>
      <c r="D45" s="5" t="s">
        <v>732</v>
      </c>
      <c r="E45" s="5" t="s">
        <v>733</v>
      </c>
      <c r="F45" s="5" t="s">
        <v>734</v>
      </c>
      <c r="G45" s="5" t="s">
        <v>543</v>
      </c>
      <c r="H45" s="5" t="s">
        <v>735</v>
      </c>
    </row>
    <row r="46" customFormat="false" ht="24" hidden="false" customHeight="true" outlineLevel="0" collapsed="false">
      <c r="A46" s="4" t="s">
        <v>736</v>
      </c>
      <c r="B46" s="4" t="s">
        <v>538</v>
      </c>
      <c r="C46" s="4" t="s">
        <v>737</v>
      </c>
      <c r="D46" s="4" t="s">
        <v>738</v>
      </c>
      <c r="E46" s="4" t="s">
        <v>739</v>
      </c>
      <c r="F46" s="4" t="s">
        <v>740</v>
      </c>
      <c r="G46" s="4" t="s">
        <v>543</v>
      </c>
      <c r="H46" s="4" t="s">
        <v>741</v>
      </c>
    </row>
    <row r="47" customFormat="false" ht="24" hidden="false" customHeight="true" outlineLevel="0" collapsed="false">
      <c r="A47" s="5" t="s">
        <v>365</v>
      </c>
      <c r="B47" s="5" t="s">
        <v>742</v>
      </c>
      <c r="C47" s="5" t="s">
        <v>743</v>
      </c>
      <c r="D47" s="5" t="s">
        <v>744</v>
      </c>
      <c r="E47" s="5" t="s">
        <v>745</v>
      </c>
      <c r="F47" s="5" t="s">
        <v>746</v>
      </c>
      <c r="G47" s="5" t="s">
        <v>543</v>
      </c>
      <c r="H47" s="5" t="s">
        <v>747</v>
      </c>
    </row>
    <row r="48" customFormat="false" ht="24" hidden="false" customHeight="true" outlineLevel="0" collapsed="false">
      <c r="A48" s="4" t="s">
        <v>748</v>
      </c>
      <c r="B48" s="4" t="s">
        <v>538</v>
      </c>
      <c r="C48" s="4" t="s">
        <v>743</v>
      </c>
      <c r="D48" s="4" t="s">
        <v>749</v>
      </c>
      <c r="E48" s="4" t="s">
        <v>750</v>
      </c>
      <c r="F48" s="4" t="s">
        <v>751</v>
      </c>
      <c r="G48" s="4" t="s">
        <v>543</v>
      </c>
      <c r="H48" s="4" t="s">
        <v>752</v>
      </c>
    </row>
    <row r="49" customFormat="false" ht="24" hidden="false" customHeight="true" outlineLevel="0" collapsed="false">
      <c r="A49" s="5" t="s">
        <v>505</v>
      </c>
      <c r="B49" s="5" t="s">
        <v>753</v>
      </c>
      <c r="C49" s="5" t="s">
        <v>754</v>
      </c>
      <c r="D49" s="5" t="s">
        <v>755</v>
      </c>
      <c r="E49" s="5" t="s">
        <v>756</v>
      </c>
      <c r="F49" s="5" t="s">
        <v>757</v>
      </c>
      <c r="G49" s="5" t="s">
        <v>543</v>
      </c>
      <c r="H49" s="5" t="s">
        <v>758</v>
      </c>
    </row>
    <row r="50" customFormat="false" ht="24" hidden="false" customHeight="true" outlineLevel="0" collapsed="false">
      <c r="A50" s="4" t="s">
        <v>759</v>
      </c>
      <c r="B50" s="4" t="s">
        <v>760</v>
      </c>
      <c r="C50" s="4" t="s">
        <v>761</v>
      </c>
      <c r="D50" s="4" t="s">
        <v>762</v>
      </c>
      <c r="E50" s="4" t="s">
        <v>763</v>
      </c>
      <c r="F50" s="4" t="s">
        <v>764</v>
      </c>
      <c r="G50" s="4" t="s">
        <v>543</v>
      </c>
      <c r="H50" s="4" t="s">
        <v>765</v>
      </c>
    </row>
    <row r="51" customFormat="false" ht="24" hidden="false" customHeight="true" outlineLevel="0" collapsed="false">
      <c r="A51" s="5" t="s">
        <v>766</v>
      </c>
      <c r="B51" s="5" t="s">
        <v>538</v>
      </c>
      <c r="C51" s="5" t="s">
        <v>767</v>
      </c>
      <c r="D51" s="5" t="s">
        <v>768</v>
      </c>
      <c r="E51" s="5" t="s">
        <v>769</v>
      </c>
      <c r="F51" s="5" t="s">
        <v>770</v>
      </c>
      <c r="G51" s="5" t="s">
        <v>543</v>
      </c>
      <c r="H51" s="5" t="s">
        <v>771</v>
      </c>
    </row>
    <row r="52" customFormat="false" ht="24" hidden="false" customHeight="true" outlineLevel="0" collapsed="false">
      <c r="A52" s="4" t="s">
        <v>493</v>
      </c>
      <c r="B52" s="4" t="s">
        <v>772</v>
      </c>
      <c r="C52" s="4" t="s">
        <v>773</v>
      </c>
      <c r="D52" s="4" t="s">
        <v>774</v>
      </c>
      <c r="E52" s="4" t="s">
        <v>775</v>
      </c>
      <c r="F52" s="4" t="s">
        <v>776</v>
      </c>
      <c r="G52" s="4" t="s">
        <v>777</v>
      </c>
      <c r="H52" s="4" t="s">
        <v>778</v>
      </c>
    </row>
    <row r="53" customFormat="false" ht="24" hidden="false" customHeight="true" outlineLevel="0" collapsed="false">
      <c r="A53" s="5" t="s">
        <v>779</v>
      </c>
      <c r="B53" s="5" t="s">
        <v>538</v>
      </c>
      <c r="C53" s="5" t="s">
        <v>780</v>
      </c>
      <c r="D53" s="5" t="s">
        <v>781</v>
      </c>
      <c r="E53" s="5" t="s">
        <v>782</v>
      </c>
      <c r="F53" s="5" t="s">
        <v>783</v>
      </c>
      <c r="G53" s="5" t="s">
        <v>543</v>
      </c>
      <c r="H53" s="5" t="s">
        <v>784</v>
      </c>
    </row>
    <row r="54" customFormat="false" ht="24" hidden="false" customHeight="true" outlineLevel="0" collapsed="false">
      <c r="A54" s="4" t="s">
        <v>785</v>
      </c>
      <c r="B54" s="4" t="s">
        <v>786</v>
      </c>
      <c r="C54" s="4" t="s">
        <v>787</v>
      </c>
      <c r="D54" s="4" t="s">
        <v>788</v>
      </c>
      <c r="E54" s="4" t="s">
        <v>789</v>
      </c>
      <c r="F54" s="4" t="s">
        <v>790</v>
      </c>
      <c r="G54" s="4" t="s">
        <v>543</v>
      </c>
      <c r="H54" s="4" t="s">
        <v>791</v>
      </c>
    </row>
    <row r="55" customFormat="false" ht="24" hidden="false" customHeight="true" outlineLevel="0" collapsed="false">
      <c r="A55" s="5" t="s">
        <v>456</v>
      </c>
      <c r="B55" s="5" t="s">
        <v>792</v>
      </c>
      <c r="C55" s="5" t="s">
        <v>793</v>
      </c>
      <c r="D55" s="5" t="s">
        <v>794</v>
      </c>
      <c r="E55" s="5" t="s">
        <v>795</v>
      </c>
      <c r="F55" s="5" t="s">
        <v>796</v>
      </c>
      <c r="G55" s="5" t="s">
        <v>543</v>
      </c>
      <c r="H55" s="5" t="s">
        <v>797</v>
      </c>
    </row>
    <row r="56" customFormat="false" ht="24" hidden="false" customHeight="true" outlineLevel="0" collapsed="false">
      <c r="A56" s="4" t="s">
        <v>798</v>
      </c>
      <c r="B56" s="4" t="s">
        <v>538</v>
      </c>
      <c r="C56" s="4" t="s">
        <v>799</v>
      </c>
      <c r="D56" s="4" t="s">
        <v>800</v>
      </c>
      <c r="E56" s="4" t="s">
        <v>801</v>
      </c>
      <c r="F56" s="4" t="s">
        <v>802</v>
      </c>
      <c r="G56" s="4" t="s">
        <v>543</v>
      </c>
      <c r="H56" s="4" t="s">
        <v>803</v>
      </c>
    </row>
    <row r="57" customFormat="false" ht="24" hidden="false" customHeight="true" outlineLevel="0" collapsed="false">
      <c r="A57" s="5" t="s">
        <v>804</v>
      </c>
      <c r="B57" s="5" t="s">
        <v>805</v>
      </c>
      <c r="C57" s="5" t="s">
        <v>806</v>
      </c>
      <c r="D57" s="5" t="s">
        <v>807</v>
      </c>
      <c r="E57" s="5" t="s">
        <v>808</v>
      </c>
      <c r="F57" s="5" t="s">
        <v>809</v>
      </c>
      <c r="G57" s="5" t="s">
        <v>810</v>
      </c>
      <c r="H57" s="5" t="s">
        <v>811</v>
      </c>
    </row>
    <row r="58" customFormat="false" ht="24" hidden="false" customHeight="true" outlineLevel="0" collapsed="false">
      <c r="A58" s="4" t="s">
        <v>812</v>
      </c>
      <c r="B58" s="4" t="s">
        <v>813</v>
      </c>
      <c r="C58" s="4" t="s">
        <v>806</v>
      </c>
      <c r="D58" s="4" t="s">
        <v>814</v>
      </c>
      <c r="E58" s="4" t="s">
        <v>815</v>
      </c>
      <c r="F58" s="4" t="s">
        <v>816</v>
      </c>
      <c r="G58" s="4" t="s">
        <v>810</v>
      </c>
      <c r="H58" s="4" t="s">
        <v>817</v>
      </c>
    </row>
    <row r="59" customFormat="false" ht="24" hidden="false" customHeight="true" outlineLevel="0" collapsed="false">
      <c r="A59" s="5" t="s">
        <v>818</v>
      </c>
      <c r="B59" s="5" t="s">
        <v>805</v>
      </c>
      <c r="C59" s="5" t="s">
        <v>806</v>
      </c>
      <c r="D59" s="5" t="s">
        <v>819</v>
      </c>
      <c r="E59" s="5" t="s">
        <v>820</v>
      </c>
      <c r="F59" s="5" t="s">
        <v>821</v>
      </c>
      <c r="G59" s="5" t="s">
        <v>810</v>
      </c>
      <c r="H59" s="5" t="s">
        <v>822</v>
      </c>
    </row>
    <row r="60" customFormat="false" ht="24" hidden="false" customHeight="true" outlineLevel="0" collapsed="false">
      <c r="A60" s="4" t="s">
        <v>823</v>
      </c>
      <c r="B60" s="4" t="s">
        <v>805</v>
      </c>
      <c r="C60" s="4" t="s">
        <v>806</v>
      </c>
      <c r="D60" s="4" t="s">
        <v>824</v>
      </c>
      <c r="E60" s="4" t="s">
        <v>825</v>
      </c>
      <c r="F60" s="4" t="s">
        <v>826</v>
      </c>
      <c r="G60" s="4" t="s">
        <v>810</v>
      </c>
      <c r="H60" s="4" t="s">
        <v>827</v>
      </c>
    </row>
    <row r="61" customFormat="false" ht="24" hidden="false" customHeight="true" outlineLevel="0" collapsed="false">
      <c r="A61" s="5" t="s">
        <v>828</v>
      </c>
      <c r="B61" s="5" t="s">
        <v>829</v>
      </c>
      <c r="C61" s="5" t="s">
        <v>806</v>
      </c>
      <c r="D61" s="5" t="s">
        <v>830</v>
      </c>
      <c r="E61" s="5" t="s">
        <v>831</v>
      </c>
      <c r="F61" s="5" t="s">
        <v>832</v>
      </c>
      <c r="G61" s="5" t="s">
        <v>810</v>
      </c>
      <c r="H61" s="5" t="s">
        <v>833</v>
      </c>
    </row>
    <row r="62" customFormat="false" ht="24" hidden="false" customHeight="true" outlineLevel="0" collapsed="false">
      <c r="A62" s="4" t="s">
        <v>834</v>
      </c>
      <c r="B62" s="4" t="s">
        <v>835</v>
      </c>
      <c r="C62" s="4" t="s">
        <v>806</v>
      </c>
      <c r="D62" s="4" t="s">
        <v>836</v>
      </c>
      <c r="E62" s="4" t="s">
        <v>837</v>
      </c>
      <c r="F62" s="4" t="s">
        <v>838</v>
      </c>
      <c r="G62" s="4" t="s">
        <v>810</v>
      </c>
      <c r="H62" s="4" t="s">
        <v>839</v>
      </c>
    </row>
  </sheetData>
  <autoFilter ref="A3:H62"/>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3" min="3" style="0" width="19"/>
    <col collapsed="false" customWidth="true" hidden="false" outlineLevel="0" max="6" min="4" style="0" width="28"/>
    <col collapsed="false" customWidth="true" hidden="false" outlineLevel="0" max="7" min="7" style="0" width="27"/>
    <col collapsed="false" customWidth="true" hidden="false" outlineLevel="0" max="8" min="8" style="0" width="28"/>
    <col collapsed="false" customWidth="true" hidden="false" outlineLevel="0" max="9" min="9" style="0" width="27"/>
    <col collapsed="false" customWidth="true" hidden="false" outlineLevel="0" max="10" min="10" style="0" width="28"/>
    <col collapsed="false" customWidth="true" hidden="false" outlineLevel="0" max="11" min="11" style="0" width="22"/>
    <col collapsed="false" customWidth="true" hidden="false" outlineLevel="0" max="12" min="12" style="0" width="28"/>
    <col collapsed="false" customWidth="true" hidden="false" outlineLevel="0" max="13" min="13" style="0" width="15"/>
    <col collapsed="false" customWidth="true" hidden="false" outlineLevel="0" max="14" min="14" style="0" width="52"/>
    <col collapsed="false" customWidth="true" hidden="false" outlineLevel="0" max="15" min="15" style="0" width="28"/>
    <col collapsed="false" customWidth="true" hidden="false" outlineLevel="0" max="16" min="16" style="0" width="52"/>
    <col collapsed="false" customWidth="true" hidden="false" outlineLevel="0" max="18" min="17" style="0" width="28"/>
    <col collapsed="false" customWidth="true" hidden="false" outlineLevel="0" max="21" min="19" style="0" width="52"/>
    <col collapsed="false" customWidth="true" hidden="false" outlineLevel="0" max="22" min="22" style="0" width="18"/>
    <col collapsed="false" customWidth="true" hidden="false" outlineLevel="0" max="23" min="23" style="0" width="15"/>
    <col collapsed="false" customWidth="true" hidden="false" outlineLevel="0" max="24" min="24" style="0" width="20"/>
    <col collapsed="false" customWidth="true" hidden="false" outlineLevel="0" max="25" min="25" style="0" width="18"/>
  </cols>
  <sheetData>
    <row r="1" customFormat="false" ht="27.75" hidden="false" customHeight="true" outlineLevel="0" collapsed="false">
      <c r="A1" s="1" t="s">
        <v>840</v>
      </c>
      <c r="B1" s="1"/>
      <c r="C1" s="1"/>
      <c r="D1" s="1"/>
      <c r="E1" s="1"/>
      <c r="F1" s="1"/>
      <c r="G1" s="1"/>
      <c r="H1" s="1"/>
      <c r="I1" s="1"/>
      <c r="J1" s="1"/>
      <c r="K1" s="1"/>
      <c r="L1" s="1"/>
      <c r="M1" s="1"/>
      <c r="N1" s="1"/>
      <c r="O1" s="1"/>
      <c r="P1" s="1"/>
      <c r="Q1" s="1"/>
      <c r="R1" s="1"/>
      <c r="S1" s="1"/>
      <c r="T1" s="1"/>
      <c r="U1" s="1"/>
      <c r="V1" s="1"/>
      <c r="W1" s="1"/>
      <c r="X1" s="1"/>
      <c r="Y1" s="1"/>
    </row>
    <row r="2" customFormat="false" ht="31.5" hidden="false" customHeight="true" outlineLevel="0" collapsed="false">
      <c r="A2" s="2" t="s">
        <v>841</v>
      </c>
      <c r="B2" s="2"/>
      <c r="C2" s="2"/>
      <c r="D2" s="2"/>
      <c r="E2" s="2"/>
      <c r="F2" s="2"/>
      <c r="G2" s="2"/>
      <c r="H2" s="2"/>
      <c r="I2" s="2"/>
      <c r="J2" s="2"/>
      <c r="K2" s="2"/>
      <c r="L2" s="2"/>
      <c r="M2" s="2"/>
      <c r="N2" s="2"/>
      <c r="O2" s="2"/>
      <c r="P2" s="2"/>
      <c r="Q2" s="2"/>
      <c r="R2" s="2"/>
      <c r="S2" s="2"/>
      <c r="T2" s="2"/>
      <c r="U2" s="2"/>
      <c r="V2" s="2"/>
      <c r="W2" s="2"/>
      <c r="X2" s="2"/>
      <c r="Y2" s="2"/>
    </row>
    <row r="3" customFormat="false" ht="43.5" hidden="false" customHeight="true" outlineLevel="0" collapsed="false">
      <c r="A3" s="3" t="s">
        <v>50</v>
      </c>
      <c r="B3" s="3" t="s">
        <v>842</v>
      </c>
      <c r="C3" s="3" t="s">
        <v>843</v>
      </c>
      <c r="D3" s="3" t="s">
        <v>844</v>
      </c>
      <c r="E3" s="3" t="s">
        <v>845</v>
      </c>
      <c r="F3" s="3" t="s">
        <v>846</v>
      </c>
      <c r="G3" s="3" t="s">
        <v>847</v>
      </c>
      <c r="H3" s="3" t="s">
        <v>848</v>
      </c>
      <c r="I3" s="3" t="s">
        <v>849</v>
      </c>
      <c r="J3" s="3" t="s">
        <v>850</v>
      </c>
      <c r="K3" s="3" t="s">
        <v>851</v>
      </c>
      <c r="L3" s="3" t="s">
        <v>852</v>
      </c>
      <c r="M3" s="3" t="s">
        <v>345</v>
      </c>
      <c r="N3" s="3" t="s">
        <v>853</v>
      </c>
      <c r="O3" s="3" t="s">
        <v>854</v>
      </c>
      <c r="P3" s="3" t="s">
        <v>855</v>
      </c>
      <c r="Q3" s="3" t="s">
        <v>856</v>
      </c>
      <c r="R3" s="3" t="s">
        <v>857</v>
      </c>
      <c r="S3" s="3" t="s">
        <v>858</v>
      </c>
      <c r="T3" s="3" t="s">
        <v>859</v>
      </c>
      <c r="U3" s="3" t="s">
        <v>860</v>
      </c>
      <c r="V3" s="3" t="s">
        <v>861</v>
      </c>
      <c r="W3" s="3" t="s">
        <v>862</v>
      </c>
      <c r="X3" s="3" t="s">
        <v>863</v>
      </c>
      <c r="Y3" s="3" t="s">
        <v>864</v>
      </c>
    </row>
    <row r="4" customFormat="false" ht="123.75" hidden="false" customHeight="true" outlineLevel="0" collapsed="false">
      <c r="A4" s="4" t="s">
        <v>55</v>
      </c>
      <c r="B4" s="4" t="s">
        <v>56</v>
      </c>
      <c r="C4" s="4" t="s">
        <v>348</v>
      </c>
      <c r="D4" s="4" t="s">
        <v>865</v>
      </c>
      <c r="E4" s="4" t="n">
        <v>52.2</v>
      </c>
      <c r="F4" s="4" t="s">
        <v>866</v>
      </c>
      <c r="G4" s="4" t="n">
        <v>79</v>
      </c>
      <c r="H4" s="4" t="s">
        <v>867</v>
      </c>
      <c r="I4" s="4" t="n">
        <v>74.4</v>
      </c>
      <c r="J4" s="4" t="n">
        <v>80</v>
      </c>
      <c r="K4" s="4" t="n">
        <v>55</v>
      </c>
      <c r="L4" s="4" t="n">
        <v>66.7</v>
      </c>
      <c r="M4" s="4" t="s">
        <v>135</v>
      </c>
      <c r="N4" s="4" t="s">
        <v>868</v>
      </c>
      <c r="O4" s="4" t="s">
        <v>869</v>
      </c>
      <c r="P4" s="4" t="s">
        <v>870</v>
      </c>
      <c r="Q4" s="4" t="s">
        <v>871</v>
      </c>
      <c r="R4" s="4" t="n">
        <v>16</v>
      </c>
      <c r="S4" s="4" t="s">
        <v>872</v>
      </c>
      <c r="T4" s="4" t="s">
        <v>873</v>
      </c>
      <c r="U4" s="4" t="s">
        <v>874</v>
      </c>
      <c r="V4" s="31" t="n">
        <f aca="false">SUMPRODUCT(ISNUMBER(SEARCH('Business &amp; Components'!$A$3:$A$5,$C4))*'Business &amp; Components'!$C$3:$C$5)</f>
        <v>1040</v>
      </c>
      <c r="W4" s="32" t="n">
        <f aca="false">V4/SUM('Business &amp; Components'!$C$3:$C$5)</f>
        <v>0.666666666666667</v>
      </c>
      <c r="X4" s="31" t="n">
        <f aca="false">L4/100*V4</f>
        <v>693.68</v>
      </c>
      <c r="Y4" s="33" t="n">
        <f aca="false">RANK(X4,$X$4:$X$10)</f>
        <v>3</v>
      </c>
    </row>
    <row r="5" customFormat="false" ht="123.75" hidden="false" customHeight="true" outlineLevel="0" collapsed="false">
      <c r="A5" s="5" t="s">
        <v>59</v>
      </c>
      <c r="B5" s="5" t="s">
        <v>60</v>
      </c>
      <c r="C5" s="5" t="s">
        <v>43</v>
      </c>
      <c r="D5" s="5" t="s">
        <v>875</v>
      </c>
      <c r="E5" s="5" t="n">
        <v>52.1</v>
      </c>
      <c r="F5" s="5" t="s">
        <v>866</v>
      </c>
      <c r="G5" s="5" t="n">
        <v>79</v>
      </c>
      <c r="H5" s="5" t="s">
        <v>867</v>
      </c>
      <c r="I5" s="5" t="n">
        <v>74.4</v>
      </c>
      <c r="J5" s="5" t="n">
        <v>80</v>
      </c>
      <c r="K5" s="5" t="n">
        <v>55</v>
      </c>
      <c r="L5" s="5" t="n">
        <v>66.6</v>
      </c>
      <c r="M5" s="5" t="s">
        <v>135</v>
      </c>
      <c r="N5" s="5" t="s">
        <v>868</v>
      </c>
      <c r="O5" s="5" t="s">
        <v>869</v>
      </c>
      <c r="P5" s="5" t="s">
        <v>876</v>
      </c>
      <c r="Q5" s="5" t="s">
        <v>877</v>
      </c>
      <c r="R5" s="5" t="n">
        <v>16</v>
      </c>
      <c r="S5" s="5" t="s">
        <v>878</v>
      </c>
      <c r="T5" s="5" t="s">
        <v>879</v>
      </c>
      <c r="U5" s="5" t="s">
        <v>874</v>
      </c>
      <c r="V5" s="34" t="n">
        <f aca="false">SUMPRODUCT(ISNUMBER(SEARCH('Business &amp; Components'!$A$3:$A$5,$C5))*'Business &amp; Components'!$C$3:$C$5)</f>
        <v>520</v>
      </c>
      <c r="W5" s="35" t="n">
        <f aca="false">V5/SUM('Business &amp; Components'!$C$3:$C$5)</f>
        <v>0.333333333333333</v>
      </c>
      <c r="X5" s="34" t="n">
        <f aca="false">L5/100*V5</f>
        <v>346.32</v>
      </c>
      <c r="Y5" s="36" t="n">
        <f aca="false">RANK(X5,$X$4:$X$10)</f>
        <v>5</v>
      </c>
    </row>
    <row r="6" customFormat="false" ht="108.75" hidden="false" customHeight="true" outlineLevel="0" collapsed="false">
      <c r="A6" s="4" t="s">
        <v>63</v>
      </c>
      <c r="B6" s="4" t="s">
        <v>64</v>
      </c>
      <c r="C6" s="4" t="s">
        <v>372</v>
      </c>
      <c r="D6" s="4" t="s">
        <v>880</v>
      </c>
      <c r="E6" s="4" t="n">
        <v>69</v>
      </c>
      <c r="F6" s="4" t="s">
        <v>881</v>
      </c>
      <c r="G6" s="4" t="n">
        <v>79</v>
      </c>
      <c r="H6" s="4" t="s">
        <v>882</v>
      </c>
      <c r="I6" s="4" t="n">
        <v>64.9</v>
      </c>
      <c r="J6" s="4" t="n">
        <v>90</v>
      </c>
      <c r="K6" s="4" t="n">
        <v>55</v>
      </c>
      <c r="L6" s="4" t="n">
        <v>72.6</v>
      </c>
      <c r="M6" s="4" t="s">
        <v>135</v>
      </c>
      <c r="N6" s="4" t="s">
        <v>883</v>
      </c>
      <c r="O6" s="4" t="s">
        <v>884</v>
      </c>
      <c r="P6" s="4" t="s">
        <v>885</v>
      </c>
      <c r="Q6" s="4" t="s">
        <v>886</v>
      </c>
      <c r="R6" s="4" t="n">
        <v>12</v>
      </c>
      <c r="S6" s="4" t="s">
        <v>887</v>
      </c>
      <c r="T6" s="4" t="s">
        <v>888</v>
      </c>
      <c r="U6" s="4" t="s">
        <v>874</v>
      </c>
      <c r="V6" s="31" t="n">
        <f aca="false">SUMPRODUCT(ISNUMBER(SEARCH('Business &amp; Components'!$A$3:$A$5,$C6))*'Business &amp; Components'!$C$3:$C$5)</f>
        <v>1560</v>
      </c>
      <c r="W6" s="32" t="n">
        <f aca="false">V6/SUM('Business &amp; Components'!$C$3:$C$5)</f>
        <v>1</v>
      </c>
      <c r="X6" s="31" t="n">
        <f aca="false">L6/100*V6</f>
        <v>1132.56</v>
      </c>
      <c r="Y6" s="33" t="n">
        <f aca="false">RANK(X6,$X$4:$X$10)</f>
        <v>1</v>
      </c>
    </row>
    <row r="7" customFormat="false" ht="108.75" hidden="false" customHeight="true" outlineLevel="0" collapsed="false">
      <c r="A7" s="5" t="s">
        <v>67</v>
      </c>
      <c r="B7" s="5" t="s">
        <v>68</v>
      </c>
      <c r="C7" s="5" t="s">
        <v>377</v>
      </c>
      <c r="D7" s="5" t="s">
        <v>889</v>
      </c>
      <c r="E7" s="5" t="n">
        <v>49.7</v>
      </c>
      <c r="F7" s="5" t="s">
        <v>890</v>
      </c>
      <c r="G7" s="5" t="n">
        <v>83.7</v>
      </c>
      <c r="H7" s="5" t="s">
        <v>891</v>
      </c>
      <c r="I7" s="5" t="n">
        <v>51.6</v>
      </c>
      <c r="J7" s="5" t="n">
        <v>100</v>
      </c>
      <c r="K7" s="5" t="n">
        <v>75</v>
      </c>
      <c r="L7" s="5" t="n">
        <v>68.6</v>
      </c>
      <c r="M7" s="5" t="s">
        <v>135</v>
      </c>
      <c r="N7" s="5" t="s">
        <v>883</v>
      </c>
      <c r="O7" s="5" t="s">
        <v>892</v>
      </c>
      <c r="P7" s="5" t="s">
        <v>893</v>
      </c>
      <c r="Q7" s="5" t="s">
        <v>894</v>
      </c>
      <c r="R7" s="5" t="n">
        <v>8</v>
      </c>
      <c r="S7" s="5" t="s">
        <v>895</v>
      </c>
      <c r="T7" s="5" t="s">
        <v>896</v>
      </c>
      <c r="U7" s="5" t="s">
        <v>874</v>
      </c>
      <c r="V7" s="34" t="n">
        <f aca="false">SUMPRODUCT(ISNUMBER(SEARCH('Business &amp; Components'!$A$3:$A$5,$C7))*'Business &amp; Components'!$C$3:$C$5)</f>
        <v>1144</v>
      </c>
      <c r="W7" s="35" t="n">
        <f aca="false">V7/SUM('Business &amp; Components'!$C$3:$C$5)</f>
        <v>0.733333333333333</v>
      </c>
      <c r="X7" s="34" t="n">
        <f aca="false">L7/100*V7</f>
        <v>784.784</v>
      </c>
      <c r="Y7" s="36" t="n">
        <f aca="false">RANK(X7,$X$4:$X$10)</f>
        <v>2</v>
      </c>
    </row>
    <row r="8" customFormat="false" ht="108.75" hidden="false" customHeight="true" outlineLevel="0" collapsed="false">
      <c r="A8" s="4" t="s">
        <v>71</v>
      </c>
      <c r="B8" s="4" t="s">
        <v>72</v>
      </c>
      <c r="C8" s="4" t="s">
        <v>39</v>
      </c>
      <c r="D8" s="4" t="s">
        <v>897</v>
      </c>
      <c r="E8" s="4" t="n">
        <v>45.4</v>
      </c>
      <c r="F8" s="4" t="s">
        <v>420</v>
      </c>
      <c r="G8" s="4" t="n">
        <v>39.3</v>
      </c>
      <c r="H8" s="4" t="s">
        <v>898</v>
      </c>
      <c r="I8" s="4"/>
      <c r="J8" s="4" t="n">
        <v>100</v>
      </c>
      <c r="K8" s="4" t="n">
        <v>0</v>
      </c>
      <c r="L8" s="4" t="n">
        <v>47.9</v>
      </c>
      <c r="M8" s="4" t="s">
        <v>119</v>
      </c>
      <c r="N8" s="4" t="s">
        <v>899</v>
      </c>
      <c r="O8" s="4" t="s">
        <v>900</v>
      </c>
      <c r="P8" s="4" t="s">
        <v>901</v>
      </c>
      <c r="Q8" s="4" t="s">
        <v>902</v>
      </c>
      <c r="R8" s="4" t="n">
        <v>4</v>
      </c>
      <c r="S8" s="4" t="s">
        <v>903</v>
      </c>
      <c r="T8" s="4" t="s">
        <v>904</v>
      </c>
      <c r="U8" s="4" t="s">
        <v>874</v>
      </c>
      <c r="V8" s="31" t="n">
        <f aca="false">SUMPRODUCT(ISNUMBER(SEARCH('Business &amp; Components'!$A$3:$A$5,$C8))*'Business &amp; Components'!$C$3:$C$5)</f>
        <v>624</v>
      </c>
      <c r="W8" s="32" t="n">
        <f aca="false">V8/SUM('Business &amp; Components'!$C$3:$C$5)</f>
        <v>0.4</v>
      </c>
      <c r="X8" s="31" t="n">
        <f aca="false">L8/100*V8</f>
        <v>298.896</v>
      </c>
      <c r="Y8" s="33" t="n">
        <f aca="false">RANK(X8,$X$4:$X$10)</f>
        <v>6</v>
      </c>
    </row>
    <row r="9" customFormat="false" ht="108.75" hidden="false" customHeight="true" outlineLevel="0" collapsed="false">
      <c r="A9" s="5" t="s">
        <v>75</v>
      </c>
      <c r="B9" s="5" t="s">
        <v>76</v>
      </c>
      <c r="C9" s="5" t="s">
        <v>382</v>
      </c>
      <c r="D9" s="5" t="s">
        <v>905</v>
      </c>
      <c r="E9" s="5" t="n">
        <v>48.4</v>
      </c>
      <c r="F9" s="5" t="s">
        <v>423</v>
      </c>
      <c r="G9" s="5" t="n">
        <v>57.3</v>
      </c>
      <c r="H9" s="5"/>
      <c r="I9" s="5"/>
      <c r="J9" s="5" t="n">
        <v>100</v>
      </c>
      <c r="K9" s="5" t="n">
        <v>35</v>
      </c>
      <c r="L9" s="5" t="n">
        <v>58.5</v>
      </c>
      <c r="M9" s="5" t="s">
        <v>119</v>
      </c>
      <c r="N9" s="5" t="s">
        <v>883</v>
      </c>
      <c r="O9" s="5" t="s">
        <v>906</v>
      </c>
      <c r="P9" s="5" t="s">
        <v>907</v>
      </c>
      <c r="Q9" s="5" t="s">
        <v>908</v>
      </c>
      <c r="R9" s="5" t="n">
        <v>6</v>
      </c>
      <c r="S9" s="5" t="s">
        <v>909</v>
      </c>
      <c r="T9" s="5" t="s">
        <v>910</v>
      </c>
      <c r="U9" s="5" t="s">
        <v>874</v>
      </c>
      <c r="V9" s="34" t="n">
        <f aca="false">SUMPRODUCT(ISNUMBER(SEARCH('Business &amp; Components'!$A$3:$A$5,$C9))*'Business &amp; Components'!$C$3:$C$5)</f>
        <v>936</v>
      </c>
      <c r="W9" s="35" t="n">
        <f aca="false">V9/SUM('Business &amp; Components'!$C$3:$C$5)</f>
        <v>0.6</v>
      </c>
      <c r="X9" s="34" t="n">
        <f aca="false">L9/100*V9</f>
        <v>547.56</v>
      </c>
      <c r="Y9" s="36" t="n">
        <f aca="false">RANK(X9,$X$4:$X$10)</f>
        <v>4</v>
      </c>
    </row>
    <row r="10" customFormat="false" ht="108.75" hidden="false" customHeight="true" outlineLevel="0" collapsed="false">
      <c r="A10" s="4" t="s">
        <v>79</v>
      </c>
      <c r="B10" s="4" t="s">
        <v>80</v>
      </c>
      <c r="C10" s="4" t="s">
        <v>46</v>
      </c>
      <c r="D10" s="4" t="s">
        <v>911</v>
      </c>
      <c r="E10" s="4" t="n">
        <v>42.2</v>
      </c>
      <c r="F10" s="4" t="s">
        <v>912</v>
      </c>
      <c r="G10" s="4" t="n">
        <v>79</v>
      </c>
      <c r="H10" s="4" t="s">
        <v>913</v>
      </c>
      <c r="I10" s="4" t="n">
        <v>64.9</v>
      </c>
      <c r="J10" s="4" t="n">
        <v>85</v>
      </c>
      <c r="K10" s="4" t="n">
        <v>55</v>
      </c>
      <c r="L10" s="4" t="n">
        <v>62.5</v>
      </c>
      <c r="M10" s="4" t="s">
        <v>135</v>
      </c>
      <c r="N10" s="4" t="s">
        <v>914</v>
      </c>
      <c r="O10" s="4" t="s">
        <v>915</v>
      </c>
      <c r="P10" s="4" t="s">
        <v>916</v>
      </c>
      <c r="Q10" s="4" t="s">
        <v>917</v>
      </c>
      <c r="R10" s="4" t="n">
        <v>12</v>
      </c>
      <c r="S10" s="4" t="s">
        <v>918</v>
      </c>
      <c r="T10" s="4" t="s">
        <v>919</v>
      </c>
      <c r="U10" s="4" t="s">
        <v>874</v>
      </c>
      <c r="V10" s="31" t="n">
        <f aca="false">SUMPRODUCT(ISNUMBER(SEARCH('Business &amp; Components'!$A$3:$A$5,$C10))*'Business &amp; Components'!$C$3:$C$5)</f>
        <v>416</v>
      </c>
      <c r="W10" s="32" t="n">
        <f aca="false">V10/SUM('Business &amp; Components'!$C$3:$C$5)</f>
        <v>0.266666666666667</v>
      </c>
      <c r="X10" s="31" t="n">
        <f aca="false">L10/100*V10</f>
        <v>260</v>
      </c>
      <c r="Y10" s="33" t="n">
        <f aca="false">RANK(X10,$X$4:$X$10)</f>
        <v>7</v>
      </c>
    </row>
    <row r="12" customFormat="false" ht="48" hidden="false" customHeight="true" outlineLevel="0" collapsed="false">
      <c r="A12" s="30" t="s">
        <v>920</v>
      </c>
      <c r="B12" s="30"/>
      <c r="C12" s="30"/>
      <c r="D12" s="30"/>
      <c r="E12" s="30"/>
      <c r="F12" s="30"/>
      <c r="G12" s="30"/>
      <c r="H12" s="30"/>
      <c r="I12" s="30"/>
      <c r="J12" s="30"/>
      <c r="K12" s="30"/>
      <c r="L12" s="30"/>
      <c r="M12" s="30"/>
      <c r="N12" s="30"/>
      <c r="O12" s="30"/>
      <c r="P12" s="30"/>
    </row>
  </sheetData>
  <autoFilter ref="A3:Y10"/>
  <mergeCells count="3">
    <mergeCell ref="A1:Y1"/>
    <mergeCell ref="A2:Y2"/>
    <mergeCell ref="A12:P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4" min="3" style="0" width="26"/>
    <col collapsed="false" customWidth="true" hidden="false" outlineLevel="0" max="5" min="5" style="0" width="14"/>
    <col collapsed="false" customWidth="true" hidden="false" outlineLevel="0" max="6" min="6" style="0" width="16"/>
    <col collapsed="false" customWidth="true" hidden="false" outlineLevel="0" max="9" min="7" style="0" width="13"/>
    <col collapsed="false" customWidth="true" hidden="false" outlineLevel="0" max="11" min="10" style="0" width="18"/>
    <col collapsed="false" customWidth="true" hidden="false" outlineLevel="0" max="12" min="12" style="0" width="8"/>
    <col collapsed="false" customWidth="true" hidden="false" outlineLevel="0" max="13" min="13" style="0" width="60"/>
  </cols>
  <sheetData>
    <row r="1" customFormat="false" ht="27.75" hidden="false" customHeight="true" outlineLevel="0" collapsed="false">
      <c r="A1" s="1" t="s">
        <v>921</v>
      </c>
      <c r="B1" s="1"/>
      <c r="C1" s="1"/>
      <c r="D1" s="1"/>
      <c r="E1" s="1"/>
      <c r="F1" s="1"/>
      <c r="G1" s="1"/>
      <c r="H1" s="1"/>
      <c r="I1" s="1"/>
      <c r="J1" s="1"/>
      <c r="K1" s="1"/>
      <c r="L1" s="1"/>
      <c r="M1" s="1"/>
    </row>
    <row r="2" customFormat="false" ht="43.5" hidden="false" customHeight="true" outlineLevel="0" collapsed="false">
      <c r="A2" s="2" t="s">
        <v>922</v>
      </c>
      <c r="B2" s="2"/>
      <c r="C2" s="2"/>
      <c r="D2" s="2"/>
      <c r="E2" s="2"/>
      <c r="F2" s="2"/>
      <c r="G2" s="2"/>
      <c r="H2" s="2"/>
      <c r="I2" s="2"/>
      <c r="J2" s="2"/>
      <c r="K2" s="2"/>
      <c r="L2" s="2"/>
      <c r="M2" s="2"/>
    </row>
    <row r="3" customFormat="false" ht="43.5" hidden="false" customHeight="true" outlineLevel="0" collapsed="false">
      <c r="A3" s="3" t="s">
        <v>85</v>
      </c>
      <c r="B3" s="3" t="s">
        <v>923</v>
      </c>
      <c r="C3" s="3" t="s">
        <v>924</v>
      </c>
      <c r="D3" s="3" t="s">
        <v>925</v>
      </c>
      <c r="E3" s="3" t="s">
        <v>926</v>
      </c>
      <c r="F3" s="3" t="s">
        <v>927</v>
      </c>
      <c r="G3" s="3" t="s">
        <v>928</v>
      </c>
      <c r="H3" s="3" t="s">
        <v>929</v>
      </c>
      <c r="I3" s="3" t="s">
        <v>930</v>
      </c>
      <c r="J3" s="3" t="s">
        <v>12</v>
      </c>
      <c r="K3" s="3" t="s">
        <v>931</v>
      </c>
      <c r="L3" s="3" t="s">
        <v>932</v>
      </c>
      <c r="M3" s="3" t="s">
        <v>933</v>
      </c>
    </row>
    <row r="4" customFormat="false" ht="48.75" hidden="false" customHeight="true" outlineLevel="0" collapsed="false">
      <c r="A4" s="7" t="s">
        <v>186</v>
      </c>
      <c r="B4" s="7" t="s">
        <v>394</v>
      </c>
      <c r="C4" s="7" t="s">
        <v>393</v>
      </c>
      <c r="D4" s="7" t="s">
        <v>934</v>
      </c>
      <c r="E4" s="7" t="s">
        <v>372</v>
      </c>
      <c r="F4" s="31" t="n">
        <f aca="false">SUMPRODUCT(ISNUMBER(SEARCH('Business &amp; Components'!$A$3:$A$5,$E4))*'Business &amp; Components'!$C$3:$C$5)</f>
        <v>1560</v>
      </c>
      <c r="G4" s="32" t="n">
        <f aca="false">F4/SUM('Business &amp; Components'!$C$3:$C$5)</f>
        <v>1</v>
      </c>
      <c r="H4" s="16" t="n">
        <f aca="false">IF(INDEX('Supplier Universe &amp; Risk'!$U$4:$U$33,MATCH($A4,'Supplier Universe &amp; Risk'!$A$4:$A$33,0))="","n/a",INDEX('Supplier Universe &amp; Risk'!$U$4:$U$33,MATCH($A4,'Supplier Universe &amp; Risk'!$A$4:$A$33,0)))</f>
        <v>79</v>
      </c>
      <c r="I4" s="17" t="str">
        <f aca="false">IF(INDEX('Supplier Universe &amp; Risk'!$V$4:$V$33,MATCH($A4,'Supplier Universe &amp; Risk'!$A$4:$A$33,0))="","n/a",INDEX('Supplier Universe &amp; Risk'!$V$4:$V$33,MATCH($A4,'Supplier Universe &amp; Risk'!$A$4:$A$33,0)))</f>
        <v>CRITICAL</v>
      </c>
      <c r="J4" s="7" t="s">
        <v>121</v>
      </c>
      <c r="K4" s="31" t="n">
        <f aca="false">IF(ISNUMBER(H4),H4/100*F4,"n/a")</f>
        <v>1232.4</v>
      </c>
      <c r="L4" s="33" t="n">
        <f aca="false">IF(ISNUMBER(K4),RANK(K4,$K$4:$K$28),"n/a")</f>
        <v>1</v>
      </c>
      <c r="M4" s="7" t="s">
        <v>935</v>
      </c>
    </row>
    <row r="5" customFormat="false" ht="33.75" hidden="false" customHeight="true" outlineLevel="0" collapsed="false">
      <c r="A5" s="6" t="s">
        <v>198</v>
      </c>
      <c r="B5" s="6" t="s">
        <v>404</v>
      </c>
      <c r="C5" s="6" t="s">
        <v>393</v>
      </c>
      <c r="D5" s="6" t="s">
        <v>936</v>
      </c>
      <c r="E5" s="6" t="s">
        <v>372</v>
      </c>
      <c r="F5" s="34" t="n">
        <f aca="false">SUMPRODUCT(ISNUMBER(SEARCH('Business &amp; Components'!$A$3:$A$5,$E5))*'Business &amp; Components'!$C$3:$C$5)</f>
        <v>1560</v>
      </c>
      <c r="G5" s="35" t="n">
        <f aca="false">F5/SUM('Business &amp; Components'!$C$3:$C$5)</f>
        <v>1</v>
      </c>
      <c r="H5" s="21" t="n">
        <f aca="false">IF(INDEX('Supplier Universe &amp; Risk'!$U$4:$U$33,MATCH($A5,'Supplier Universe &amp; Risk'!$A$4:$A$33,0))="","n/a",INDEX('Supplier Universe &amp; Risk'!$U$4:$U$33,MATCH($A5,'Supplier Universe &amp; Risk'!$A$4:$A$33,0)))</f>
        <v>79</v>
      </c>
      <c r="I5" s="22" t="str">
        <f aca="false">IF(INDEX('Supplier Universe &amp; Risk'!$V$4:$V$33,MATCH($A5,'Supplier Universe &amp; Risk'!$A$4:$A$33,0))="","n/a",INDEX('Supplier Universe &amp; Risk'!$V$4:$V$33,MATCH($A5,'Supplier Universe &amp; Risk'!$A$4:$A$33,0)))</f>
        <v>CRITICAL</v>
      </c>
      <c r="J5" s="6" t="s">
        <v>121</v>
      </c>
      <c r="K5" s="34" t="n">
        <f aca="false">IF(ISNUMBER(H5),H5/100*F5,"n/a")</f>
        <v>1232.4</v>
      </c>
      <c r="L5" s="36" t="n">
        <f aca="false">IF(ISNUMBER(K5),RANK(K5,$K$4:$K$28),"n/a")</f>
        <v>1</v>
      </c>
      <c r="M5" s="6" t="s">
        <v>937</v>
      </c>
    </row>
    <row r="6" customFormat="false" ht="33.75" hidden="false" customHeight="true" outlineLevel="0" collapsed="false">
      <c r="A6" s="7" t="s">
        <v>249</v>
      </c>
      <c r="B6" s="7" t="s">
        <v>433</v>
      </c>
      <c r="C6" s="7" t="s">
        <v>432</v>
      </c>
      <c r="D6" s="7" t="s">
        <v>934</v>
      </c>
      <c r="E6" s="7" t="s">
        <v>372</v>
      </c>
      <c r="F6" s="31" t="n">
        <f aca="false">SUMPRODUCT(ISNUMBER(SEARCH('Business &amp; Components'!$A$3:$A$5,$E6))*'Business &amp; Components'!$C$3:$C$5)</f>
        <v>1560</v>
      </c>
      <c r="G6" s="32" t="n">
        <f aca="false">F6/SUM('Business &amp; Components'!$C$3:$C$5)</f>
        <v>1</v>
      </c>
      <c r="H6" s="16" t="n">
        <f aca="false">IF(INDEX('Supplier Universe &amp; Risk'!$U$4:$U$33,MATCH($A6,'Supplier Universe &amp; Risk'!$A$4:$A$33,0))="","n/a",INDEX('Supplier Universe &amp; Risk'!$U$4:$U$33,MATCH($A6,'Supplier Universe &amp; Risk'!$A$4:$A$33,0)))</f>
        <v>74.4</v>
      </c>
      <c r="I6" s="17" t="str">
        <f aca="false">IF(INDEX('Supplier Universe &amp; Risk'!$V$4:$V$33,MATCH($A6,'Supplier Universe &amp; Risk'!$A$4:$A$33,0))="","n/a",INDEX('Supplier Universe &amp; Risk'!$V$4:$V$33,MATCH($A6,'Supplier Universe &amp; Risk'!$A$4:$A$33,0)))</f>
        <v>HIGH</v>
      </c>
      <c r="J6" s="7" t="s">
        <v>121</v>
      </c>
      <c r="K6" s="31" t="n">
        <f aca="false">IF(ISNUMBER(H6),H6/100*F6,"n/a")</f>
        <v>1160.64</v>
      </c>
      <c r="L6" s="33" t="n">
        <f aca="false">IF(ISNUMBER(K6),RANK(K6,$K$4:$K$28),"n/a")</f>
        <v>3</v>
      </c>
      <c r="M6" s="7" t="s">
        <v>938</v>
      </c>
    </row>
    <row r="7" customFormat="false" ht="33.75" hidden="false" customHeight="true" outlineLevel="0" collapsed="false">
      <c r="A7" s="6" t="s">
        <v>256</v>
      </c>
      <c r="B7" s="6" t="s">
        <v>440</v>
      </c>
      <c r="C7" s="6" t="s">
        <v>432</v>
      </c>
      <c r="D7" s="6" t="s">
        <v>934</v>
      </c>
      <c r="E7" s="6" t="s">
        <v>372</v>
      </c>
      <c r="F7" s="34" t="n">
        <f aca="false">SUMPRODUCT(ISNUMBER(SEARCH('Business &amp; Components'!$A$3:$A$5,$E7))*'Business &amp; Components'!$C$3:$C$5)</f>
        <v>1560</v>
      </c>
      <c r="G7" s="35" t="n">
        <f aca="false">F7/SUM('Business &amp; Components'!$C$3:$C$5)</f>
        <v>1</v>
      </c>
      <c r="H7" s="21" t="n">
        <f aca="false">IF(INDEX('Supplier Universe &amp; Risk'!$U$4:$U$33,MATCH($A7,'Supplier Universe &amp; Risk'!$A$4:$A$33,0))="","n/a",INDEX('Supplier Universe &amp; Risk'!$U$4:$U$33,MATCH($A7,'Supplier Universe &amp; Risk'!$A$4:$A$33,0)))</f>
        <v>73.4</v>
      </c>
      <c r="I7" s="22" t="str">
        <f aca="false">IF(INDEX('Supplier Universe &amp; Risk'!$V$4:$V$33,MATCH($A7,'Supplier Universe &amp; Risk'!$A$4:$A$33,0))="","n/a",INDEX('Supplier Universe &amp; Risk'!$V$4:$V$33,MATCH($A7,'Supplier Universe &amp; Risk'!$A$4:$A$33,0)))</f>
        <v>HIGH</v>
      </c>
      <c r="J7" s="6" t="s">
        <v>261</v>
      </c>
      <c r="K7" s="34" t="n">
        <f aca="false">IF(ISNUMBER(H7),H7/100*F7,"n/a")</f>
        <v>1145.04</v>
      </c>
      <c r="L7" s="36" t="n">
        <f aca="false">IF(ISNUMBER(K7),RANK(K7,$K$4:$K$28),"n/a")</f>
        <v>4</v>
      </c>
      <c r="M7" s="6" t="s">
        <v>939</v>
      </c>
    </row>
    <row r="8" customFormat="false" ht="30" hidden="false" customHeight="true" outlineLevel="0" collapsed="false">
      <c r="A8" s="7" t="s">
        <v>208</v>
      </c>
      <c r="B8" s="7" t="s">
        <v>399</v>
      </c>
      <c r="C8" s="7" t="s">
        <v>393</v>
      </c>
      <c r="D8" s="7" t="s">
        <v>934</v>
      </c>
      <c r="E8" s="7" t="s">
        <v>372</v>
      </c>
      <c r="F8" s="31" t="n">
        <f aca="false">SUMPRODUCT(ISNUMBER(SEARCH('Business &amp; Components'!$A$3:$A$5,$E8))*'Business &amp; Components'!$C$3:$C$5)</f>
        <v>1560</v>
      </c>
      <c r="G8" s="32" t="n">
        <f aca="false">F8/SUM('Business &amp; Components'!$C$3:$C$5)</f>
        <v>1</v>
      </c>
      <c r="H8" s="16" t="n">
        <f aca="false">IF(INDEX('Supplier Universe &amp; Risk'!$U$4:$U$33,MATCH($A8,'Supplier Universe &amp; Risk'!$A$4:$A$33,0))="","n/a",INDEX('Supplier Universe &amp; Risk'!$U$4:$U$33,MATCH($A8,'Supplier Universe &amp; Risk'!$A$4:$A$33,0)))</f>
        <v>69.4</v>
      </c>
      <c r="I8" s="17" t="str">
        <f aca="false">IF(INDEX('Supplier Universe &amp; Risk'!$V$4:$V$33,MATCH($A8,'Supplier Universe &amp; Risk'!$A$4:$A$33,0))="","n/a",INDEX('Supplier Universe &amp; Risk'!$V$4:$V$33,MATCH($A8,'Supplier Universe &amp; Risk'!$A$4:$A$33,0)))</f>
        <v>HIGH</v>
      </c>
      <c r="J8" s="7" t="s">
        <v>121</v>
      </c>
      <c r="K8" s="31" t="n">
        <f aca="false">IF(ISNUMBER(H8),H8/100*F8,"n/a")</f>
        <v>1082.64</v>
      </c>
      <c r="L8" s="33" t="n">
        <f aca="false">IF(ISNUMBER(K8),RANK(K8,$K$4:$K$28),"n/a")</f>
        <v>5</v>
      </c>
      <c r="M8" s="7"/>
    </row>
    <row r="9" customFormat="false" ht="30" hidden="false" customHeight="true" outlineLevel="0" collapsed="false">
      <c r="A9" s="6" t="s">
        <v>128</v>
      </c>
      <c r="B9" s="6" t="s">
        <v>373</v>
      </c>
      <c r="C9" s="6" t="s">
        <v>349</v>
      </c>
      <c r="D9" s="6" t="s">
        <v>63</v>
      </c>
      <c r="E9" s="6" t="s">
        <v>372</v>
      </c>
      <c r="F9" s="34" t="n">
        <f aca="false">SUMPRODUCT(ISNUMBER(SEARCH('Business &amp; Components'!$A$3:$A$5,$E9))*'Business &amp; Components'!$C$3:$C$5)</f>
        <v>1560</v>
      </c>
      <c r="G9" s="35" t="n">
        <f aca="false">F9/SUM('Business &amp; Components'!$C$3:$C$5)</f>
        <v>1</v>
      </c>
      <c r="H9" s="21" t="n">
        <f aca="false">IF(INDEX('Supplier Universe &amp; Risk'!$U$4:$U$33,MATCH($A9,'Supplier Universe &amp; Risk'!$A$4:$A$33,0))="","n/a",INDEX('Supplier Universe &amp; Risk'!$U$4:$U$33,MATCH($A9,'Supplier Universe &amp; Risk'!$A$4:$A$33,0)))</f>
        <v>69</v>
      </c>
      <c r="I9" s="22" t="str">
        <f aca="false">IF(INDEX('Supplier Universe &amp; Risk'!$V$4:$V$33,MATCH($A9,'Supplier Universe &amp; Risk'!$A$4:$A$33,0))="","n/a",INDEX('Supplier Universe &amp; Risk'!$V$4:$V$33,MATCH($A9,'Supplier Universe &amp; Risk'!$A$4:$A$33,0)))</f>
        <v>HIGH</v>
      </c>
      <c r="J9" s="6" t="s">
        <v>121</v>
      </c>
      <c r="K9" s="34" t="n">
        <f aca="false">IF(ISNUMBER(H9),H9/100*F9,"n/a")</f>
        <v>1076.4</v>
      </c>
      <c r="L9" s="36" t="n">
        <f aca="false">IF(ISNUMBER(K9),RANK(K9,$K$4:$K$28),"n/a")</f>
        <v>6</v>
      </c>
      <c r="M9" s="6" t="s">
        <v>940</v>
      </c>
    </row>
    <row r="10" customFormat="false" ht="30" hidden="false" customHeight="true" outlineLevel="0" collapsed="false">
      <c r="A10" s="7" t="s">
        <v>223</v>
      </c>
      <c r="B10" s="7" t="s">
        <v>402</v>
      </c>
      <c r="C10" s="7" t="s">
        <v>393</v>
      </c>
      <c r="D10" s="7" t="s">
        <v>934</v>
      </c>
      <c r="E10" s="7" t="s">
        <v>372</v>
      </c>
      <c r="F10" s="31" t="n">
        <f aca="false">SUMPRODUCT(ISNUMBER(SEARCH('Business &amp; Components'!$A$3:$A$5,$E10))*'Business &amp; Components'!$C$3:$C$5)</f>
        <v>1560</v>
      </c>
      <c r="G10" s="32" t="n">
        <f aca="false">F10/SUM('Business &amp; Components'!$C$3:$C$5)</f>
        <v>1</v>
      </c>
      <c r="H10" s="16" t="n">
        <f aca="false">IF(INDEX('Supplier Universe &amp; Risk'!$U$4:$U$33,MATCH($A10,'Supplier Universe &amp; Risk'!$A$4:$A$33,0))="","n/a",INDEX('Supplier Universe &amp; Risk'!$U$4:$U$33,MATCH($A10,'Supplier Universe &amp; Risk'!$A$4:$A$33,0)))</f>
        <v>68.8</v>
      </c>
      <c r="I10" s="17" t="str">
        <f aca="false">IF(INDEX('Supplier Universe &amp; Risk'!$V$4:$V$33,MATCH($A10,'Supplier Universe &amp; Risk'!$A$4:$A$33,0))="","n/a",INDEX('Supplier Universe &amp; Risk'!$V$4:$V$33,MATCH($A10,'Supplier Universe &amp; Risk'!$A$4:$A$33,0)))</f>
        <v>HIGH</v>
      </c>
      <c r="J10" s="7" t="s">
        <v>121</v>
      </c>
      <c r="K10" s="31" t="n">
        <f aca="false">IF(ISNUMBER(H10),H10/100*F10,"n/a")</f>
        <v>1073.28</v>
      </c>
      <c r="L10" s="33" t="n">
        <f aca="false">IF(ISNUMBER(K10),RANK(K10,$K$4:$K$28),"n/a")</f>
        <v>7</v>
      </c>
      <c r="M10" s="7"/>
    </row>
    <row r="11" customFormat="false" ht="30" hidden="false" customHeight="true" outlineLevel="0" collapsed="false">
      <c r="A11" s="6" t="s">
        <v>263</v>
      </c>
      <c r="B11" s="6" t="s">
        <v>443</v>
      </c>
      <c r="C11" s="6" t="s">
        <v>432</v>
      </c>
      <c r="D11" s="6" t="s">
        <v>936</v>
      </c>
      <c r="E11" s="6" t="s">
        <v>372</v>
      </c>
      <c r="F11" s="34" t="n">
        <f aca="false">SUMPRODUCT(ISNUMBER(SEARCH('Business &amp; Components'!$A$3:$A$5,$E11))*'Business &amp; Components'!$C$3:$C$5)</f>
        <v>1560</v>
      </c>
      <c r="G11" s="35" t="n">
        <f aca="false">F11/SUM('Business &amp; Components'!$C$3:$C$5)</f>
        <v>1</v>
      </c>
      <c r="H11" s="21" t="n">
        <f aca="false">IF(INDEX('Supplier Universe &amp; Risk'!$U$4:$U$33,MATCH($A11,'Supplier Universe &amp; Risk'!$A$4:$A$33,0))="","n/a",INDEX('Supplier Universe &amp; Risk'!$U$4:$U$33,MATCH($A11,'Supplier Universe &amp; Risk'!$A$4:$A$33,0)))</f>
        <v>64.9</v>
      </c>
      <c r="I11" s="22" t="str">
        <f aca="false">IF(INDEX('Supplier Universe &amp; Risk'!$V$4:$V$33,MATCH($A11,'Supplier Universe &amp; Risk'!$A$4:$A$33,0))="","n/a",INDEX('Supplier Universe &amp; Risk'!$V$4:$V$33,MATCH($A11,'Supplier Universe &amp; Risk'!$A$4:$A$33,0)))</f>
        <v>HIGH</v>
      </c>
      <c r="J11" s="6" t="s">
        <v>121</v>
      </c>
      <c r="K11" s="34" t="n">
        <f aca="false">IF(ISNUMBER(H11),H11/100*F11,"n/a")</f>
        <v>1012.44</v>
      </c>
      <c r="L11" s="36" t="n">
        <f aca="false">IF(ISNUMBER(K11),RANK(K11,$K$4:$K$28),"n/a")</f>
        <v>8</v>
      </c>
      <c r="M11" s="6"/>
    </row>
    <row r="12" customFormat="false" ht="30" hidden="false" customHeight="true" outlineLevel="0" collapsed="false">
      <c r="A12" s="7" t="s">
        <v>269</v>
      </c>
      <c r="B12" s="7" t="s">
        <v>446</v>
      </c>
      <c r="C12" s="7" t="s">
        <v>432</v>
      </c>
      <c r="D12" s="7" t="s">
        <v>936</v>
      </c>
      <c r="E12" s="7" t="s">
        <v>372</v>
      </c>
      <c r="F12" s="31" t="n">
        <f aca="false">SUMPRODUCT(ISNUMBER(SEARCH('Business &amp; Components'!$A$3:$A$5,$E12))*'Business &amp; Components'!$C$3:$C$5)</f>
        <v>1560</v>
      </c>
      <c r="G12" s="32" t="n">
        <f aca="false">F12/SUM('Business &amp; Components'!$C$3:$C$5)</f>
        <v>1</v>
      </c>
      <c r="H12" s="16" t="n">
        <f aca="false">IF(INDEX('Supplier Universe &amp; Risk'!$U$4:$U$33,MATCH($A12,'Supplier Universe &amp; Risk'!$A$4:$A$33,0))="","n/a",INDEX('Supplier Universe &amp; Risk'!$U$4:$U$33,MATCH($A12,'Supplier Universe &amp; Risk'!$A$4:$A$33,0)))</f>
        <v>64.4</v>
      </c>
      <c r="I12" s="17" t="str">
        <f aca="false">IF(INDEX('Supplier Universe &amp; Risk'!$V$4:$V$33,MATCH($A12,'Supplier Universe &amp; Risk'!$A$4:$A$33,0))="","n/a",INDEX('Supplier Universe &amp; Risk'!$V$4:$V$33,MATCH($A12,'Supplier Universe &amp; Risk'!$A$4:$A$33,0)))</f>
        <v>HIGH</v>
      </c>
      <c r="J12" s="7" t="s">
        <v>121</v>
      </c>
      <c r="K12" s="31" t="n">
        <f aca="false">IF(ISNUMBER(H12),H12/100*F12,"n/a")</f>
        <v>1004.64</v>
      </c>
      <c r="L12" s="33" t="n">
        <f aca="false">IF(ISNUMBER(K12),RANK(K12,$K$4:$K$28),"n/a")</f>
        <v>9</v>
      </c>
      <c r="M12" s="7"/>
    </row>
    <row r="13" customFormat="false" ht="30" hidden="false" customHeight="true" outlineLevel="0" collapsed="false">
      <c r="A13" s="6" t="s">
        <v>274</v>
      </c>
      <c r="B13" s="6" t="s">
        <v>437</v>
      </c>
      <c r="C13" s="6" t="s">
        <v>432</v>
      </c>
      <c r="D13" s="6" t="s">
        <v>934</v>
      </c>
      <c r="E13" s="6" t="s">
        <v>372</v>
      </c>
      <c r="F13" s="34" t="n">
        <f aca="false">SUMPRODUCT(ISNUMBER(SEARCH('Business &amp; Components'!$A$3:$A$5,$E13))*'Business &amp; Components'!$C$3:$C$5)</f>
        <v>1560</v>
      </c>
      <c r="G13" s="35" t="n">
        <f aca="false">F13/SUM('Business &amp; Components'!$C$3:$C$5)</f>
        <v>1</v>
      </c>
      <c r="H13" s="21" t="n">
        <f aca="false">IF(INDEX('Supplier Universe &amp; Risk'!$U$4:$U$33,MATCH($A13,'Supplier Universe &amp; Risk'!$A$4:$A$33,0))="","n/a",INDEX('Supplier Universe &amp; Risk'!$U$4:$U$33,MATCH($A13,'Supplier Universe &amp; Risk'!$A$4:$A$33,0)))</f>
        <v>63.5</v>
      </c>
      <c r="I13" s="22" t="str">
        <f aca="false">IF(INDEX('Supplier Universe &amp; Risk'!$V$4:$V$33,MATCH($A13,'Supplier Universe &amp; Risk'!$A$4:$A$33,0))="","n/a",INDEX('Supplier Universe &amp; Risk'!$V$4:$V$33,MATCH($A13,'Supplier Universe &amp; Risk'!$A$4:$A$33,0)))</f>
        <v>HIGH</v>
      </c>
      <c r="J13" s="6" t="s">
        <v>121</v>
      </c>
      <c r="K13" s="34" t="n">
        <f aca="false">IF(ISNUMBER(H13),H13/100*F13,"n/a")</f>
        <v>990.6</v>
      </c>
      <c r="L13" s="36" t="n">
        <f aca="false">IF(ISNUMBER(K13),RANK(K13,$K$4:$K$28),"n/a")</f>
        <v>10</v>
      </c>
      <c r="M13" s="6"/>
    </row>
    <row r="14" customFormat="false" ht="33.75" hidden="false" customHeight="true" outlineLevel="0" collapsed="false">
      <c r="A14" s="7" t="s">
        <v>213</v>
      </c>
      <c r="B14" s="7" t="s">
        <v>414</v>
      </c>
      <c r="C14" s="7" t="s">
        <v>393</v>
      </c>
      <c r="D14" s="7" t="s">
        <v>67</v>
      </c>
      <c r="E14" s="7" t="s">
        <v>377</v>
      </c>
      <c r="F14" s="31" t="n">
        <f aca="false">SUMPRODUCT(ISNUMBER(SEARCH('Business &amp; Components'!$A$3:$A$5,$E14))*'Business &amp; Components'!$C$3:$C$5)</f>
        <v>1144</v>
      </c>
      <c r="G14" s="32" t="n">
        <f aca="false">F14/SUM('Business &amp; Components'!$C$3:$C$5)</f>
        <v>0.733333333333333</v>
      </c>
      <c r="H14" s="16" t="n">
        <f aca="false">IF(INDEX('Supplier Universe &amp; Risk'!$U$4:$U$33,MATCH($A14,'Supplier Universe &amp; Risk'!$A$4:$A$33,0))="","n/a",INDEX('Supplier Universe &amp; Risk'!$U$4:$U$33,MATCH($A14,'Supplier Universe &amp; Risk'!$A$4:$A$33,0)))</f>
        <v>83.7</v>
      </c>
      <c r="I14" s="17" t="str">
        <f aca="false">IF(INDEX('Supplier Universe &amp; Risk'!$V$4:$V$33,MATCH($A14,'Supplier Universe &amp; Risk'!$A$4:$A$33,0))="","n/a",INDEX('Supplier Universe &amp; Risk'!$V$4:$V$33,MATCH($A14,'Supplier Universe &amp; Risk'!$A$4:$A$33,0)))</f>
        <v>CRITICAL</v>
      </c>
      <c r="J14" s="7" t="s">
        <v>121</v>
      </c>
      <c r="K14" s="31" t="n">
        <f aca="false">IF(ISNUMBER(H14),H14/100*F14,"n/a")</f>
        <v>957.528</v>
      </c>
      <c r="L14" s="33" t="n">
        <f aca="false">IF(ISNUMBER(K14),RANK(K14,$K$4:$K$28),"n/a")</f>
        <v>11</v>
      </c>
      <c r="M14" s="7" t="s">
        <v>941</v>
      </c>
    </row>
    <row r="15" customFormat="false" ht="30" hidden="false" customHeight="true" outlineLevel="0" collapsed="false">
      <c r="A15" s="6" t="s">
        <v>238</v>
      </c>
      <c r="B15" s="6" t="s">
        <v>411</v>
      </c>
      <c r="C15" s="6" t="s">
        <v>393</v>
      </c>
      <c r="D15" s="6" t="s">
        <v>63</v>
      </c>
      <c r="E15" s="6" t="s">
        <v>372</v>
      </c>
      <c r="F15" s="34" t="n">
        <f aca="false">SUMPRODUCT(ISNUMBER(SEARCH('Business &amp; Components'!$A$3:$A$5,$E15))*'Business &amp; Components'!$C$3:$C$5)</f>
        <v>1560</v>
      </c>
      <c r="G15" s="35" t="n">
        <f aca="false">F15/SUM('Business &amp; Components'!$C$3:$C$5)</f>
        <v>1</v>
      </c>
      <c r="H15" s="21" t="n">
        <f aca="false">IF(INDEX('Supplier Universe &amp; Risk'!$U$4:$U$33,MATCH($A15,'Supplier Universe &amp; Risk'!$A$4:$A$33,0))="","n/a",INDEX('Supplier Universe &amp; Risk'!$U$4:$U$33,MATCH($A15,'Supplier Universe &amp; Risk'!$A$4:$A$33,0)))</f>
        <v>60.9</v>
      </c>
      <c r="I15" s="22" t="str">
        <f aca="false">IF(INDEX('Supplier Universe &amp; Risk'!$V$4:$V$33,MATCH($A15,'Supplier Universe &amp; Risk'!$A$4:$A$33,0))="","n/a",INDEX('Supplier Universe &amp; Risk'!$V$4:$V$33,MATCH($A15,'Supplier Universe &amp; Risk'!$A$4:$A$33,0)))</f>
        <v>HIGH</v>
      </c>
      <c r="J15" s="6" t="s">
        <v>121</v>
      </c>
      <c r="K15" s="34" t="n">
        <f aca="false">IF(ISNUMBER(H15),H15/100*F15,"n/a")</f>
        <v>950.04</v>
      </c>
      <c r="L15" s="36" t="n">
        <f aca="false">IF(ISNUMBER(K15),RANK(K15,$K$4:$K$28),"n/a")</f>
        <v>12</v>
      </c>
      <c r="M15" s="6"/>
    </row>
    <row r="16" customFormat="false" ht="30" hidden="false" customHeight="true" outlineLevel="0" collapsed="false">
      <c r="A16" s="7" t="s">
        <v>203</v>
      </c>
      <c r="B16" s="7" t="s">
        <v>408</v>
      </c>
      <c r="C16" s="7" t="s">
        <v>393</v>
      </c>
      <c r="D16" s="7" t="s">
        <v>936</v>
      </c>
      <c r="E16" s="7" t="s">
        <v>372</v>
      </c>
      <c r="F16" s="31" t="n">
        <f aca="false">SUMPRODUCT(ISNUMBER(SEARCH('Business &amp; Components'!$A$3:$A$5,$E16))*'Business &amp; Components'!$C$3:$C$5)</f>
        <v>1560</v>
      </c>
      <c r="G16" s="32" t="n">
        <f aca="false">F16/SUM('Business &amp; Components'!$C$3:$C$5)</f>
        <v>1</v>
      </c>
      <c r="H16" s="16" t="n">
        <f aca="false">IF(INDEX('Supplier Universe &amp; Risk'!$U$4:$U$33,MATCH($A16,'Supplier Universe &amp; Risk'!$A$4:$A$33,0))="","n/a",INDEX('Supplier Universe &amp; Risk'!$U$4:$U$33,MATCH($A16,'Supplier Universe &amp; Risk'!$A$4:$A$33,0)))</f>
        <v>57.2</v>
      </c>
      <c r="I16" s="17" t="str">
        <f aca="false">IF(INDEX('Supplier Universe &amp; Risk'!$V$4:$V$33,MATCH($A16,'Supplier Universe &amp; Risk'!$A$4:$A$33,0))="","n/a",INDEX('Supplier Universe &amp; Risk'!$V$4:$V$33,MATCH($A16,'Supplier Universe &amp; Risk'!$A$4:$A$33,0)))</f>
        <v>MEDIUM</v>
      </c>
      <c r="J16" s="7" t="s">
        <v>121</v>
      </c>
      <c r="K16" s="31" t="n">
        <f aca="false">IF(ISNUMBER(H16),H16/100*F16,"n/a")</f>
        <v>892.32</v>
      </c>
      <c r="L16" s="33" t="n">
        <f aca="false">IF(ISNUMBER(K16),RANK(K16,$K$4:$K$28),"n/a")</f>
        <v>13</v>
      </c>
      <c r="M16" s="7"/>
    </row>
    <row r="17" customFormat="false" ht="30" hidden="false" customHeight="true" outlineLevel="0" collapsed="false">
      <c r="A17" s="6" t="s">
        <v>122</v>
      </c>
      <c r="B17" s="6" t="s">
        <v>355</v>
      </c>
      <c r="C17" s="6" t="s">
        <v>349</v>
      </c>
      <c r="D17" s="6" t="s">
        <v>934</v>
      </c>
      <c r="E17" s="6" t="s">
        <v>372</v>
      </c>
      <c r="F17" s="34" t="n">
        <f aca="false">SUMPRODUCT(ISNUMBER(SEARCH('Business &amp; Components'!$A$3:$A$5,$E17))*'Business &amp; Components'!$C$3:$C$5)</f>
        <v>1560</v>
      </c>
      <c r="G17" s="35" t="n">
        <f aca="false">F17/SUM('Business &amp; Components'!$C$3:$C$5)</f>
        <v>1</v>
      </c>
      <c r="H17" s="21" t="n">
        <f aca="false">IF(INDEX('Supplier Universe &amp; Risk'!$U$4:$U$33,MATCH($A17,'Supplier Universe &amp; Risk'!$A$4:$A$33,0))="","n/a",INDEX('Supplier Universe &amp; Risk'!$U$4:$U$33,MATCH($A17,'Supplier Universe &amp; Risk'!$A$4:$A$33,0)))</f>
        <v>52.7</v>
      </c>
      <c r="I17" s="22" t="str">
        <f aca="false">IF(INDEX('Supplier Universe &amp; Risk'!$V$4:$V$33,MATCH($A17,'Supplier Universe &amp; Risk'!$A$4:$A$33,0))="","n/a",INDEX('Supplier Universe &amp; Risk'!$V$4:$V$33,MATCH($A17,'Supplier Universe &amp; Risk'!$A$4:$A$33,0)))</f>
        <v>MEDIUM</v>
      </c>
      <c r="J17" s="6" t="s">
        <v>121</v>
      </c>
      <c r="K17" s="34" t="n">
        <f aca="false">IF(ISNUMBER(H17),H17/100*F17,"n/a")</f>
        <v>822.12</v>
      </c>
      <c r="L17" s="36" t="n">
        <f aca="false">IF(ISNUMBER(K17),RANK(K17,$K$4:$K$28),"n/a")</f>
        <v>14</v>
      </c>
      <c r="M17" s="6" t="s">
        <v>942</v>
      </c>
    </row>
    <row r="18" customFormat="false" ht="30" hidden="false" customHeight="true" outlineLevel="0" collapsed="false">
      <c r="A18" s="7" t="s">
        <v>110</v>
      </c>
      <c r="B18" s="7" t="s">
        <v>350</v>
      </c>
      <c r="C18" s="7" t="s">
        <v>349</v>
      </c>
      <c r="D18" s="7" t="s">
        <v>934</v>
      </c>
      <c r="E18" s="7" t="s">
        <v>372</v>
      </c>
      <c r="F18" s="31" t="n">
        <f aca="false">SUMPRODUCT(ISNUMBER(SEARCH('Business &amp; Components'!$A$3:$A$5,$E18))*'Business &amp; Components'!$C$3:$C$5)</f>
        <v>1560</v>
      </c>
      <c r="G18" s="32" t="n">
        <f aca="false">F18/SUM('Business &amp; Components'!$C$3:$C$5)</f>
        <v>1</v>
      </c>
      <c r="H18" s="16" t="n">
        <f aca="false">IF(INDEX('Supplier Universe &amp; Risk'!$U$4:$U$33,MATCH($A18,'Supplier Universe &amp; Risk'!$A$4:$A$33,0))="","n/a",INDEX('Supplier Universe &amp; Risk'!$U$4:$U$33,MATCH($A18,'Supplier Universe &amp; Risk'!$A$4:$A$33,0)))</f>
        <v>51.8</v>
      </c>
      <c r="I18" s="17" t="str">
        <f aca="false">IF(INDEX('Supplier Universe &amp; Risk'!$V$4:$V$33,MATCH($A18,'Supplier Universe &amp; Risk'!$A$4:$A$33,0))="","n/a",INDEX('Supplier Universe &amp; Risk'!$V$4:$V$33,MATCH($A18,'Supplier Universe &amp; Risk'!$A$4:$A$33,0)))</f>
        <v>MEDIUM</v>
      </c>
      <c r="J18" s="7" t="s">
        <v>121</v>
      </c>
      <c r="K18" s="31" t="n">
        <f aca="false">IF(ISNUMBER(H18),H18/100*F18,"n/a")</f>
        <v>808.08</v>
      </c>
      <c r="L18" s="33" t="n">
        <f aca="false">IF(ISNUMBER(K18),RANK(K18,$K$4:$K$28),"n/a")</f>
        <v>15</v>
      </c>
      <c r="M18" s="7" t="s">
        <v>943</v>
      </c>
    </row>
    <row r="19" customFormat="false" ht="30" hidden="false" customHeight="true" outlineLevel="0" collapsed="false">
      <c r="A19" s="6" t="s">
        <v>218</v>
      </c>
      <c r="B19" s="6" t="s">
        <v>417</v>
      </c>
      <c r="C19" s="6" t="s">
        <v>393</v>
      </c>
      <c r="D19" s="6" t="s">
        <v>67</v>
      </c>
      <c r="E19" s="6" t="s">
        <v>377</v>
      </c>
      <c r="F19" s="34" t="n">
        <f aca="false">SUMPRODUCT(ISNUMBER(SEARCH('Business &amp; Components'!$A$3:$A$5,$E19))*'Business &amp; Components'!$C$3:$C$5)</f>
        <v>1144</v>
      </c>
      <c r="G19" s="35" t="n">
        <f aca="false">F19/SUM('Business &amp; Components'!$C$3:$C$5)</f>
        <v>0.733333333333333</v>
      </c>
      <c r="H19" s="21" t="n">
        <f aca="false">IF(INDEX('Supplier Universe &amp; Risk'!$U$4:$U$33,MATCH($A19,'Supplier Universe &amp; Risk'!$A$4:$A$33,0))="","n/a",INDEX('Supplier Universe &amp; Risk'!$U$4:$U$33,MATCH($A19,'Supplier Universe &amp; Risk'!$A$4:$A$33,0)))</f>
        <v>61.7</v>
      </c>
      <c r="I19" s="22" t="str">
        <f aca="false">IF(INDEX('Supplier Universe &amp; Risk'!$V$4:$V$33,MATCH($A19,'Supplier Universe &amp; Risk'!$A$4:$A$33,0))="","n/a",INDEX('Supplier Universe &amp; Risk'!$V$4:$V$33,MATCH($A19,'Supplier Universe &amp; Risk'!$A$4:$A$33,0)))</f>
        <v>HIGH</v>
      </c>
      <c r="J19" s="6" t="s">
        <v>121</v>
      </c>
      <c r="K19" s="34" t="n">
        <f aca="false">IF(ISNUMBER(H19),H19/100*F19,"n/a")</f>
        <v>705.848</v>
      </c>
      <c r="L19" s="36" t="n">
        <f aca="false">IF(ISNUMBER(K19),RANK(K19,$K$4:$K$28),"n/a")</f>
        <v>16</v>
      </c>
      <c r="M19" s="6"/>
    </row>
    <row r="20" customFormat="false" ht="30" hidden="false" customHeight="true" outlineLevel="0" collapsed="false">
      <c r="A20" s="7" t="s">
        <v>280</v>
      </c>
      <c r="B20" s="7" t="s">
        <v>448</v>
      </c>
      <c r="C20" s="7" t="s">
        <v>432</v>
      </c>
      <c r="D20" s="7" t="s">
        <v>67</v>
      </c>
      <c r="E20" s="7" t="s">
        <v>377</v>
      </c>
      <c r="F20" s="31" t="n">
        <f aca="false">SUMPRODUCT(ISNUMBER(SEARCH('Business &amp; Components'!$A$3:$A$5,$E20))*'Business &amp; Components'!$C$3:$C$5)</f>
        <v>1144</v>
      </c>
      <c r="G20" s="32" t="n">
        <f aca="false">F20/SUM('Business &amp; Components'!$C$3:$C$5)</f>
        <v>0.733333333333333</v>
      </c>
      <c r="H20" s="16" t="n">
        <f aca="false">IF(INDEX('Supplier Universe &amp; Risk'!$U$4:$U$33,MATCH($A20,'Supplier Universe &amp; Risk'!$A$4:$A$33,0))="","n/a",INDEX('Supplier Universe &amp; Risk'!$U$4:$U$33,MATCH($A20,'Supplier Universe &amp; Risk'!$A$4:$A$33,0)))</f>
        <v>51.6</v>
      </c>
      <c r="I20" s="17" t="str">
        <f aca="false">IF(INDEX('Supplier Universe &amp; Risk'!$V$4:$V$33,MATCH($A20,'Supplier Universe &amp; Risk'!$A$4:$A$33,0))="","n/a",INDEX('Supplier Universe &amp; Risk'!$V$4:$V$33,MATCH($A20,'Supplier Universe &amp; Risk'!$A$4:$A$33,0)))</f>
        <v>MEDIUM</v>
      </c>
      <c r="J20" s="7" t="s">
        <v>121</v>
      </c>
      <c r="K20" s="31" t="n">
        <f aca="false">IF(ISNUMBER(H20),H20/100*F20,"n/a")</f>
        <v>590.304</v>
      </c>
      <c r="L20" s="33" t="n">
        <f aca="false">IF(ISNUMBER(K20),RANK(K20,$K$4:$K$28),"n/a")</f>
        <v>17</v>
      </c>
      <c r="M20" s="7"/>
    </row>
    <row r="21" customFormat="false" ht="30" hidden="false" customHeight="true" outlineLevel="0" collapsed="false">
      <c r="A21" s="6" t="s">
        <v>142</v>
      </c>
      <c r="B21" s="6" t="s">
        <v>378</v>
      </c>
      <c r="C21" s="6" t="s">
        <v>349</v>
      </c>
      <c r="D21" s="6" t="s">
        <v>67</v>
      </c>
      <c r="E21" s="6" t="s">
        <v>377</v>
      </c>
      <c r="F21" s="34" t="n">
        <f aca="false">SUMPRODUCT(ISNUMBER(SEARCH('Business &amp; Components'!$A$3:$A$5,$E21))*'Business &amp; Components'!$C$3:$C$5)</f>
        <v>1144</v>
      </c>
      <c r="G21" s="35" t="n">
        <f aca="false">F21/SUM('Business &amp; Components'!$C$3:$C$5)</f>
        <v>0.733333333333333</v>
      </c>
      <c r="H21" s="21" t="n">
        <f aca="false">IF(INDEX('Supplier Universe &amp; Risk'!$U$4:$U$33,MATCH($A21,'Supplier Universe &amp; Risk'!$A$4:$A$33,0))="","n/a",INDEX('Supplier Universe &amp; Risk'!$U$4:$U$33,MATCH($A21,'Supplier Universe &amp; Risk'!$A$4:$A$33,0)))</f>
        <v>49.7</v>
      </c>
      <c r="I21" s="22" t="str">
        <f aca="false">IF(INDEX('Supplier Universe &amp; Risk'!$V$4:$V$33,MATCH($A21,'Supplier Universe &amp; Risk'!$A$4:$A$33,0))="","n/a",INDEX('Supplier Universe &amp; Risk'!$V$4:$V$33,MATCH($A21,'Supplier Universe &amp; Risk'!$A$4:$A$33,0)))</f>
        <v>MEDIUM</v>
      </c>
      <c r="J21" s="6" t="s">
        <v>121</v>
      </c>
      <c r="K21" s="34" t="n">
        <f aca="false">IF(ISNUMBER(H21),H21/100*F21,"n/a")</f>
        <v>568.568</v>
      </c>
      <c r="L21" s="36" t="n">
        <f aca="false">IF(ISNUMBER(K21),RANK(K21,$K$4:$K$28),"n/a")</f>
        <v>18</v>
      </c>
      <c r="M21" s="6"/>
    </row>
    <row r="22" customFormat="false" ht="30" hidden="false" customHeight="true" outlineLevel="0" collapsed="false">
      <c r="A22" s="7" t="s">
        <v>228</v>
      </c>
      <c r="B22" s="7" t="s">
        <v>423</v>
      </c>
      <c r="C22" s="7" t="s">
        <v>393</v>
      </c>
      <c r="D22" s="7" t="s">
        <v>75</v>
      </c>
      <c r="E22" s="7" t="s">
        <v>382</v>
      </c>
      <c r="F22" s="31" t="n">
        <f aca="false">SUMPRODUCT(ISNUMBER(SEARCH('Business &amp; Components'!$A$3:$A$5,$E22))*'Business &amp; Components'!$C$3:$C$5)</f>
        <v>936</v>
      </c>
      <c r="G22" s="32" t="n">
        <f aca="false">F22/SUM('Business &amp; Components'!$C$3:$C$5)</f>
        <v>0.6</v>
      </c>
      <c r="H22" s="16" t="n">
        <f aca="false">IF(INDEX('Supplier Universe &amp; Risk'!$U$4:$U$33,MATCH($A22,'Supplier Universe &amp; Risk'!$A$4:$A$33,0))="","n/a",INDEX('Supplier Universe &amp; Risk'!$U$4:$U$33,MATCH($A22,'Supplier Universe &amp; Risk'!$A$4:$A$33,0)))</f>
        <v>57.3</v>
      </c>
      <c r="I22" s="17" t="str">
        <f aca="false">IF(INDEX('Supplier Universe &amp; Risk'!$V$4:$V$33,MATCH($A22,'Supplier Universe &amp; Risk'!$A$4:$A$33,0))="","n/a",INDEX('Supplier Universe &amp; Risk'!$V$4:$V$33,MATCH($A22,'Supplier Universe &amp; Risk'!$A$4:$A$33,0)))</f>
        <v>MEDIUM</v>
      </c>
      <c r="J22" s="7" t="s">
        <v>121</v>
      </c>
      <c r="K22" s="31" t="n">
        <f aca="false">IF(ISNUMBER(H22),H22/100*F22,"n/a")</f>
        <v>536.328</v>
      </c>
      <c r="L22" s="33" t="n">
        <f aca="false">IF(ISNUMBER(K22),RANK(K22,$K$4:$K$28),"n/a")</f>
        <v>19</v>
      </c>
      <c r="M22" s="7"/>
    </row>
    <row r="23" customFormat="false" ht="30" hidden="false" customHeight="true" outlineLevel="0" collapsed="false">
      <c r="A23" s="6" t="s">
        <v>152</v>
      </c>
      <c r="B23" s="6" t="s">
        <v>383</v>
      </c>
      <c r="C23" s="6" t="s">
        <v>349</v>
      </c>
      <c r="D23" s="6" t="s">
        <v>75</v>
      </c>
      <c r="E23" s="6" t="s">
        <v>382</v>
      </c>
      <c r="F23" s="34" t="n">
        <f aca="false">SUMPRODUCT(ISNUMBER(SEARCH('Business &amp; Components'!$A$3:$A$5,$E23))*'Business &amp; Components'!$C$3:$C$5)</f>
        <v>936</v>
      </c>
      <c r="G23" s="35" t="n">
        <f aca="false">F23/SUM('Business &amp; Components'!$C$3:$C$5)</f>
        <v>0.6</v>
      </c>
      <c r="H23" s="21" t="n">
        <f aca="false">IF(INDEX('Supplier Universe &amp; Risk'!$U$4:$U$33,MATCH($A23,'Supplier Universe &amp; Risk'!$A$4:$A$33,0))="","n/a",INDEX('Supplier Universe &amp; Risk'!$U$4:$U$33,MATCH($A23,'Supplier Universe &amp; Risk'!$A$4:$A$33,0)))</f>
        <v>48.4</v>
      </c>
      <c r="I23" s="22" t="str">
        <f aca="false">IF(INDEX('Supplier Universe &amp; Risk'!$V$4:$V$33,MATCH($A23,'Supplier Universe &amp; Risk'!$A$4:$A$33,0))="","n/a",INDEX('Supplier Universe &amp; Risk'!$V$4:$V$33,MATCH($A23,'Supplier Universe &amp; Risk'!$A$4:$A$33,0)))</f>
        <v>MEDIUM</v>
      </c>
      <c r="J23" s="6" t="s">
        <v>121</v>
      </c>
      <c r="K23" s="34" t="n">
        <f aca="false">IF(ISNUMBER(H23),H23/100*F23,"n/a")</f>
        <v>453.024</v>
      </c>
      <c r="L23" s="36" t="n">
        <f aca="false">IF(ISNUMBER(K23),RANK(K23,$K$4:$K$28),"n/a")</f>
        <v>20</v>
      </c>
      <c r="M23" s="6"/>
    </row>
    <row r="24" customFormat="false" ht="30" hidden="false" customHeight="true" outlineLevel="0" collapsed="false">
      <c r="A24" s="7" t="s">
        <v>159</v>
      </c>
      <c r="B24" s="7" t="s">
        <v>380</v>
      </c>
      <c r="C24" s="7" t="s">
        <v>349</v>
      </c>
      <c r="D24" s="7" t="s">
        <v>71</v>
      </c>
      <c r="E24" s="7" t="s">
        <v>39</v>
      </c>
      <c r="F24" s="31" t="n">
        <f aca="false">SUMPRODUCT(ISNUMBER(SEARCH('Business &amp; Components'!$A$3:$A$5,$E24))*'Business &amp; Components'!$C$3:$C$5)</f>
        <v>624</v>
      </c>
      <c r="G24" s="32" t="n">
        <f aca="false">F24/SUM('Business &amp; Components'!$C$3:$C$5)</f>
        <v>0.4</v>
      </c>
      <c r="H24" s="16" t="n">
        <f aca="false">IF(INDEX('Supplier Universe &amp; Risk'!$U$4:$U$33,MATCH($A24,'Supplier Universe &amp; Risk'!$A$4:$A$33,0))="","n/a",INDEX('Supplier Universe &amp; Risk'!$U$4:$U$33,MATCH($A24,'Supplier Universe &amp; Risk'!$A$4:$A$33,0)))</f>
        <v>45.4</v>
      </c>
      <c r="I24" s="17" t="str">
        <f aca="false">IF(INDEX('Supplier Universe &amp; Risk'!$V$4:$V$33,MATCH($A24,'Supplier Universe &amp; Risk'!$A$4:$A$33,0))="","n/a",INDEX('Supplier Universe &amp; Risk'!$V$4:$V$33,MATCH($A24,'Supplier Universe &amp; Risk'!$A$4:$A$33,0)))</f>
        <v>MEDIUM</v>
      </c>
      <c r="J24" s="7" t="s">
        <v>121</v>
      </c>
      <c r="K24" s="31" t="n">
        <f aca="false">IF(ISNUMBER(H24),H24/100*F24,"n/a")</f>
        <v>283.296</v>
      </c>
      <c r="L24" s="33" t="n">
        <f aca="false">IF(ISNUMBER(K24),RANK(K24,$K$4:$K$28),"n/a")</f>
        <v>21</v>
      </c>
      <c r="M24" s="7"/>
    </row>
    <row r="25" customFormat="false" ht="30" hidden="false" customHeight="true" outlineLevel="0" collapsed="false">
      <c r="A25" s="6" t="s">
        <v>233</v>
      </c>
      <c r="B25" s="6" t="s">
        <v>420</v>
      </c>
      <c r="C25" s="6" t="s">
        <v>393</v>
      </c>
      <c r="D25" s="6" t="s">
        <v>71</v>
      </c>
      <c r="E25" s="6" t="s">
        <v>39</v>
      </c>
      <c r="F25" s="34" t="n">
        <f aca="false">SUMPRODUCT(ISNUMBER(SEARCH('Business &amp; Components'!$A$3:$A$5,$E25))*'Business &amp; Components'!$C$3:$C$5)</f>
        <v>624</v>
      </c>
      <c r="G25" s="35" t="n">
        <f aca="false">F25/SUM('Business &amp; Components'!$C$3:$C$5)</f>
        <v>0.4</v>
      </c>
      <c r="H25" s="21" t="n">
        <f aca="false">IF(INDEX('Supplier Universe &amp; Risk'!$U$4:$U$33,MATCH($A25,'Supplier Universe &amp; Risk'!$A$4:$A$33,0))="","n/a",INDEX('Supplier Universe &amp; Risk'!$U$4:$U$33,MATCH($A25,'Supplier Universe &amp; Risk'!$A$4:$A$33,0)))</f>
        <v>39.3</v>
      </c>
      <c r="I25" s="22" t="str">
        <f aca="false">IF(INDEX('Supplier Universe &amp; Risk'!$V$4:$V$33,MATCH($A25,'Supplier Universe &amp; Risk'!$A$4:$A$33,0))="","n/a",INDEX('Supplier Universe &amp; Risk'!$V$4:$V$33,MATCH($A25,'Supplier Universe &amp; Risk'!$A$4:$A$33,0)))</f>
        <v>LOW</v>
      </c>
      <c r="J25" s="6" t="s">
        <v>121</v>
      </c>
      <c r="K25" s="34" t="n">
        <f aca="false">IF(ISNUMBER(H25),H25/100*F25,"n/a")</f>
        <v>245.232</v>
      </c>
      <c r="L25" s="36" t="n">
        <f aca="false">IF(ISNUMBER(K25),RANK(K25,$K$4:$K$28),"n/a")</f>
        <v>22</v>
      </c>
      <c r="M25" s="6"/>
    </row>
    <row r="26" customFormat="false" ht="30" hidden="false" customHeight="true" outlineLevel="0" collapsed="false">
      <c r="A26" s="7" t="s">
        <v>164</v>
      </c>
      <c r="B26" s="7" t="s">
        <v>386</v>
      </c>
      <c r="C26" s="7" t="s">
        <v>349</v>
      </c>
      <c r="D26" s="7" t="s">
        <v>79</v>
      </c>
      <c r="E26" s="7" t="s">
        <v>46</v>
      </c>
      <c r="F26" s="31" t="n">
        <f aca="false">SUMPRODUCT(ISNUMBER(SEARCH('Business &amp; Components'!$A$3:$A$5,$E26))*'Business &amp; Components'!$C$3:$C$5)</f>
        <v>416</v>
      </c>
      <c r="G26" s="32" t="n">
        <f aca="false">F26/SUM('Business &amp; Components'!$C$3:$C$5)</f>
        <v>0.266666666666667</v>
      </c>
      <c r="H26" s="16" t="n">
        <f aca="false">IF(INDEX('Supplier Universe &amp; Risk'!$U$4:$U$33,MATCH($A26,'Supplier Universe &amp; Risk'!$A$4:$A$33,0))="","n/a",INDEX('Supplier Universe &amp; Risk'!$U$4:$U$33,MATCH($A26,'Supplier Universe &amp; Risk'!$A$4:$A$33,0)))</f>
        <v>44.6</v>
      </c>
      <c r="I26" s="17" t="str">
        <f aca="false">IF(INDEX('Supplier Universe &amp; Risk'!$V$4:$V$33,MATCH($A26,'Supplier Universe &amp; Risk'!$A$4:$A$33,0))="","n/a",INDEX('Supplier Universe &amp; Risk'!$V$4:$V$33,MATCH($A26,'Supplier Universe &amp; Risk'!$A$4:$A$33,0)))</f>
        <v>LOW</v>
      </c>
      <c r="J26" s="7" t="s">
        <v>121</v>
      </c>
      <c r="K26" s="31" t="n">
        <f aca="false">IF(ISNUMBER(H26),H26/100*F26,"n/a")</f>
        <v>185.536</v>
      </c>
      <c r="L26" s="33" t="n">
        <f aca="false">IF(ISNUMBER(K26),RANK(K26,$K$4:$K$28),"n/a")</f>
        <v>23</v>
      </c>
      <c r="M26" s="7"/>
    </row>
    <row r="27" customFormat="false" ht="30" hidden="false" customHeight="true" outlineLevel="0" collapsed="false">
      <c r="A27" s="6" t="s">
        <v>177</v>
      </c>
      <c r="B27" s="6" t="s">
        <v>390</v>
      </c>
      <c r="C27" s="6" t="s">
        <v>349</v>
      </c>
      <c r="D27" s="6" t="s">
        <v>79</v>
      </c>
      <c r="E27" s="6" t="s">
        <v>46</v>
      </c>
      <c r="F27" s="34" t="n">
        <f aca="false">SUMPRODUCT(ISNUMBER(SEARCH('Business &amp; Components'!$A$3:$A$5,$E27))*'Business &amp; Components'!$C$3:$C$5)</f>
        <v>416</v>
      </c>
      <c r="G27" s="35" t="n">
        <f aca="false">F27/SUM('Business &amp; Components'!$C$3:$C$5)</f>
        <v>0.266666666666667</v>
      </c>
      <c r="H27" s="21" t="n">
        <f aca="false">IF(INDEX('Supplier Universe &amp; Risk'!$U$4:$U$33,MATCH($A27,'Supplier Universe &amp; Risk'!$A$4:$A$33,0))="","n/a",INDEX('Supplier Universe &amp; Risk'!$U$4:$U$33,MATCH($A27,'Supplier Universe &amp; Risk'!$A$4:$A$33,0)))</f>
        <v>32.5</v>
      </c>
      <c r="I27" s="22" t="str">
        <f aca="false">IF(INDEX('Supplier Universe &amp; Risk'!$V$4:$V$33,MATCH($A27,'Supplier Universe &amp; Risk'!$A$4:$A$33,0))="","n/a",INDEX('Supplier Universe &amp; Risk'!$V$4:$V$33,MATCH($A27,'Supplier Universe &amp; Risk'!$A$4:$A$33,0)))</f>
        <v>LOW</v>
      </c>
      <c r="J27" s="6" t="s">
        <v>121</v>
      </c>
      <c r="K27" s="34" t="n">
        <f aca="false">IF(ISNUMBER(H27),H27/100*F27,"n/a")</f>
        <v>135.2</v>
      </c>
      <c r="L27" s="36" t="n">
        <f aca="false">IF(ISNUMBER(K27),RANK(K27,$K$4:$K$28),"n/a")</f>
        <v>24</v>
      </c>
      <c r="M27" s="6"/>
    </row>
    <row r="28" customFormat="false" ht="33.75" hidden="false" customHeight="true" outlineLevel="0" collapsed="false">
      <c r="A28" s="7" t="s">
        <v>136</v>
      </c>
      <c r="B28" s="7" t="s">
        <v>359</v>
      </c>
      <c r="C28" s="7" t="s">
        <v>358</v>
      </c>
      <c r="D28" s="7" t="s">
        <v>934</v>
      </c>
      <c r="E28" s="7" t="s">
        <v>372</v>
      </c>
      <c r="F28" s="31" t="n">
        <f aca="false">SUMPRODUCT(ISNUMBER(SEARCH('Business &amp; Components'!$A$3:$A$5,$E28))*'Business &amp; Components'!$C$3:$C$5)</f>
        <v>1560</v>
      </c>
      <c r="G28" s="32" t="n">
        <f aca="false">F28/SUM('Business &amp; Components'!$C$3:$C$5)</f>
        <v>1</v>
      </c>
      <c r="H28" s="16" t="str">
        <f aca="false">IF(INDEX('Supplier Universe &amp; Risk'!$U$4:$U$33,MATCH($A28,'Supplier Universe &amp; Risk'!$A$4:$A$33,0))="","n/a",INDEX('Supplier Universe &amp; Risk'!$U$4:$U$33,MATCH($A28,'Supplier Universe &amp; Risk'!$A$4:$A$33,0)))</f>
        <v>n/a</v>
      </c>
      <c r="I28" s="17" t="str">
        <f aca="false">IF(INDEX('Supplier Universe &amp; Risk'!$V$4:$V$33,MATCH($A28,'Supplier Universe &amp; Risk'!$A$4:$A$33,0))="","n/a",INDEX('Supplier Universe &amp; Risk'!$V$4:$V$33,MATCH($A28,'Supplier Universe &amp; Risk'!$A$4:$A$33,0)))</f>
        <v>n/a</v>
      </c>
      <c r="J28" s="7" t="s">
        <v>363</v>
      </c>
      <c r="K28" s="31" t="str">
        <f aca="false">IF(ISNUMBER(H28),H28/100*F28,"n/a")</f>
        <v>n/a</v>
      </c>
      <c r="L28" s="33" t="str">
        <f aca="false">IF(ISNUMBER(K28),RANK(K28,$K$4:$K$28),"n/a")</f>
        <v>n/a</v>
      </c>
      <c r="M28" s="7" t="s">
        <v>944</v>
      </c>
    </row>
  </sheetData>
  <autoFilter ref="A3:M28"/>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4"/>
    <col collapsed="false" customWidth="true" hidden="false" outlineLevel="0" max="4" min="4" style="0" width="28"/>
    <col collapsed="false" customWidth="true" hidden="false" outlineLevel="0" max="5" min="5" style="0" width="52"/>
    <col collapsed="false" customWidth="true" hidden="false" outlineLevel="0" max="7" min="6" style="0" width="24"/>
    <col collapsed="false" customWidth="true" hidden="false" outlineLevel="0" max="10" min="8" style="0" width="28"/>
    <col collapsed="false" customWidth="true" hidden="false" outlineLevel="0" max="11" min="11" style="0" width="21"/>
    <col collapsed="false" customWidth="true" hidden="false" outlineLevel="0" max="12" min="12" style="0" width="27"/>
    <col collapsed="false" customWidth="true" hidden="false" outlineLevel="0" max="14" min="13" style="0" width="52"/>
    <col collapsed="false" customWidth="true" hidden="false" outlineLevel="0" max="15" min="15" style="0" width="28"/>
    <col collapsed="false" customWidth="true" hidden="false" outlineLevel="0" max="16" min="16" style="0" width="24"/>
  </cols>
  <sheetData>
    <row r="1" customFormat="false" ht="27.75" hidden="false" customHeight="true" outlineLevel="0" collapsed="false">
      <c r="A1" s="1" t="s">
        <v>945</v>
      </c>
      <c r="B1" s="1"/>
      <c r="C1" s="1"/>
      <c r="D1" s="1"/>
      <c r="E1" s="1"/>
      <c r="F1" s="1"/>
      <c r="G1" s="1"/>
      <c r="H1" s="1"/>
      <c r="I1" s="1"/>
      <c r="J1" s="1"/>
      <c r="K1" s="1"/>
      <c r="L1" s="1"/>
      <c r="M1" s="1"/>
      <c r="N1" s="1"/>
      <c r="O1" s="1"/>
      <c r="P1" s="1"/>
    </row>
    <row r="2" customFormat="false" ht="31.5" hidden="false" customHeight="true" outlineLevel="0" collapsed="false">
      <c r="A2" s="2" t="s">
        <v>946</v>
      </c>
      <c r="B2" s="2"/>
      <c r="C2" s="2"/>
      <c r="D2" s="2"/>
      <c r="E2" s="2"/>
      <c r="F2" s="2"/>
      <c r="G2" s="2"/>
      <c r="H2" s="2"/>
      <c r="I2" s="2"/>
      <c r="J2" s="2"/>
      <c r="K2" s="2"/>
      <c r="L2" s="2"/>
      <c r="M2" s="2"/>
      <c r="N2" s="2"/>
      <c r="O2" s="2"/>
      <c r="P2" s="2"/>
    </row>
    <row r="3" customFormat="false" ht="31.5" hidden="false" customHeight="true" outlineLevel="0" collapsed="false">
      <c r="A3" s="3" t="s">
        <v>947</v>
      </c>
      <c r="B3" s="3" t="s">
        <v>948</v>
      </c>
      <c r="C3" s="3" t="s">
        <v>949</v>
      </c>
      <c r="D3" s="3" t="s">
        <v>950</v>
      </c>
      <c r="E3" s="3" t="s">
        <v>951</v>
      </c>
      <c r="F3" s="3" t="s">
        <v>532</v>
      </c>
      <c r="G3" s="3" t="s">
        <v>952</v>
      </c>
      <c r="H3" s="3" t="s">
        <v>953</v>
      </c>
      <c r="I3" s="3" t="s">
        <v>954</v>
      </c>
      <c r="J3" s="3" t="s">
        <v>955</v>
      </c>
      <c r="K3" s="3" t="s">
        <v>956</v>
      </c>
      <c r="L3" s="3" t="s">
        <v>957</v>
      </c>
      <c r="M3" s="3" t="s">
        <v>958</v>
      </c>
      <c r="N3" s="3" t="s">
        <v>959</v>
      </c>
      <c r="O3" s="3" t="s">
        <v>960</v>
      </c>
      <c r="P3" s="3" t="s">
        <v>961</v>
      </c>
    </row>
    <row r="4" customFormat="false" ht="168.75" hidden="false" customHeight="true" outlineLevel="0" collapsed="false">
      <c r="A4" s="4" t="s">
        <v>962</v>
      </c>
      <c r="B4" s="4" t="s">
        <v>963</v>
      </c>
      <c r="C4" s="4" t="s">
        <v>963</v>
      </c>
      <c r="D4" s="4" t="s">
        <v>964</v>
      </c>
      <c r="E4" s="4" t="s">
        <v>965</v>
      </c>
      <c r="F4" s="4" t="s">
        <v>966</v>
      </c>
      <c r="G4" s="4" t="s">
        <v>967</v>
      </c>
      <c r="H4" s="4" t="s">
        <v>968</v>
      </c>
      <c r="I4" s="4" t="s">
        <v>969</v>
      </c>
      <c r="J4" s="4" t="s">
        <v>970</v>
      </c>
      <c r="K4" s="4" t="s">
        <v>372</v>
      </c>
      <c r="L4" s="4" t="s">
        <v>135</v>
      </c>
      <c r="M4" s="4" t="s">
        <v>971</v>
      </c>
      <c r="N4" s="4" t="s">
        <v>972</v>
      </c>
      <c r="O4" s="4" t="s">
        <v>973</v>
      </c>
      <c r="P4" s="4" t="s">
        <v>966</v>
      </c>
    </row>
    <row r="5" customFormat="false" ht="33.75" hidden="false" customHeight="true" outlineLevel="0" collapsed="false">
      <c r="A5" s="5" t="s">
        <v>974</v>
      </c>
      <c r="B5" s="5" t="s">
        <v>963</v>
      </c>
      <c r="C5" s="5" t="s">
        <v>963</v>
      </c>
      <c r="D5" s="5" t="s">
        <v>975</v>
      </c>
      <c r="E5" s="5" t="s">
        <v>976</v>
      </c>
      <c r="F5" s="5" t="s">
        <v>966</v>
      </c>
      <c r="G5" s="5" t="s">
        <v>967</v>
      </c>
      <c r="H5" s="5" t="s">
        <v>977</v>
      </c>
      <c r="I5" s="5" t="s">
        <v>978</v>
      </c>
      <c r="J5" s="5" t="s">
        <v>970</v>
      </c>
      <c r="K5" s="5" t="s">
        <v>372</v>
      </c>
      <c r="L5" s="5" t="s">
        <v>979</v>
      </c>
      <c r="M5" s="5" t="s">
        <v>980</v>
      </c>
      <c r="N5" s="5" t="s">
        <v>981</v>
      </c>
      <c r="O5" s="5" t="s">
        <v>982</v>
      </c>
      <c r="P5" s="5" t="s">
        <v>966</v>
      </c>
    </row>
    <row r="6" customFormat="false" ht="63.75" hidden="false" customHeight="true" outlineLevel="0" collapsed="false">
      <c r="A6" s="4" t="s">
        <v>983</v>
      </c>
      <c r="B6" s="4" t="s">
        <v>984</v>
      </c>
      <c r="C6" s="4" t="s">
        <v>984</v>
      </c>
      <c r="D6" s="4" t="s">
        <v>985</v>
      </c>
      <c r="E6" s="4" t="s">
        <v>986</v>
      </c>
      <c r="F6" s="4" t="s">
        <v>987</v>
      </c>
      <c r="G6" s="4" t="s">
        <v>967</v>
      </c>
      <c r="H6" s="4" t="s">
        <v>414</v>
      </c>
      <c r="I6" s="4" t="s">
        <v>988</v>
      </c>
      <c r="J6" s="4" t="s">
        <v>67</v>
      </c>
      <c r="K6" s="4" t="s">
        <v>377</v>
      </c>
      <c r="L6" s="4" t="s">
        <v>135</v>
      </c>
      <c r="M6" s="4" t="s">
        <v>989</v>
      </c>
      <c r="N6" s="4" t="s">
        <v>990</v>
      </c>
      <c r="O6" s="4" t="s">
        <v>991</v>
      </c>
      <c r="P6" s="4" t="s">
        <v>987</v>
      </c>
    </row>
    <row r="7" customFormat="false" ht="63.75" hidden="false" customHeight="true" outlineLevel="0" collapsed="false">
      <c r="A7" s="5" t="s">
        <v>992</v>
      </c>
      <c r="B7" s="5" t="s">
        <v>792</v>
      </c>
      <c r="C7" s="5" t="s">
        <v>792</v>
      </c>
      <c r="D7" s="5" t="s">
        <v>993</v>
      </c>
      <c r="E7" s="5" t="s">
        <v>994</v>
      </c>
      <c r="F7" s="5" t="s">
        <v>995</v>
      </c>
      <c r="G7" s="5" t="s">
        <v>967</v>
      </c>
      <c r="H7" s="5" t="s">
        <v>996</v>
      </c>
      <c r="I7" s="5" t="s">
        <v>997</v>
      </c>
      <c r="J7" s="5" t="s">
        <v>998</v>
      </c>
      <c r="K7" s="5" t="s">
        <v>998</v>
      </c>
      <c r="L7" s="5" t="s">
        <v>999</v>
      </c>
      <c r="M7" s="5" t="s">
        <v>1000</v>
      </c>
      <c r="N7" s="5" t="s">
        <v>1001</v>
      </c>
      <c r="O7" s="5" t="s">
        <v>1002</v>
      </c>
      <c r="P7" s="5" t="s">
        <v>995</v>
      </c>
    </row>
    <row r="8" customFormat="false" ht="48.75" hidden="false" customHeight="true" outlineLevel="0" collapsed="false">
      <c r="A8" s="4" t="s">
        <v>1003</v>
      </c>
      <c r="B8" s="4" t="s">
        <v>1004</v>
      </c>
      <c r="C8" s="4" t="s">
        <v>1005</v>
      </c>
      <c r="D8" s="4" t="s">
        <v>1006</v>
      </c>
      <c r="E8" s="4" t="s">
        <v>1007</v>
      </c>
      <c r="F8" s="4" t="s">
        <v>1008</v>
      </c>
      <c r="G8" s="4" t="s">
        <v>967</v>
      </c>
      <c r="H8" s="4" t="s">
        <v>1009</v>
      </c>
      <c r="I8" s="4" t="s">
        <v>1010</v>
      </c>
      <c r="J8" s="4" t="s">
        <v>998</v>
      </c>
      <c r="K8" s="4" t="s">
        <v>998</v>
      </c>
      <c r="L8" s="4" t="s">
        <v>1011</v>
      </c>
      <c r="M8" s="4" t="s">
        <v>1012</v>
      </c>
      <c r="N8" s="4" t="s">
        <v>1013</v>
      </c>
      <c r="O8" s="4" t="s">
        <v>1014</v>
      </c>
      <c r="P8" s="4" t="s">
        <v>1008</v>
      </c>
    </row>
    <row r="9" customFormat="false" ht="63.75" hidden="false" customHeight="true" outlineLevel="0" collapsed="false">
      <c r="A9" s="5" t="s">
        <v>1015</v>
      </c>
      <c r="B9" s="5" t="s">
        <v>1016</v>
      </c>
      <c r="C9" s="5" t="s">
        <v>1016</v>
      </c>
      <c r="D9" s="5" t="s">
        <v>1017</v>
      </c>
      <c r="E9" s="5" t="s">
        <v>1018</v>
      </c>
      <c r="F9" s="5" t="s">
        <v>1019</v>
      </c>
      <c r="G9" s="5" t="s">
        <v>967</v>
      </c>
      <c r="H9" s="5" t="s">
        <v>1020</v>
      </c>
      <c r="I9" s="5" t="s">
        <v>1021</v>
      </c>
      <c r="J9" s="5" t="s">
        <v>1022</v>
      </c>
      <c r="K9" s="5" t="s">
        <v>372</v>
      </c>
      <c r="L9" s="5" t="s">
        <v>1023</v>
      </c>
      <c r="M9" s="5" t="s">
        <v>1024</v>
      </c>
      <c r="N9" s="5" t="s">
        <v>1025</v>
      </c>
      <c r="O9" s="5" t="s">
        <v>1026</v>
      </c>
      <c r="P9" s="5" t="s">
        <v>1019</v>
      </c>
    </row>
    <row r="10" customFormat="false" ht="48.75" hidden="false" customHeight="true" outlineLevel="0" collapsed="false">
      <c r="A10" s="4" t="s">
        <v>1027</v>
      </c>
      <c r="B10" s="4" t="s">
        <v>1028</v>
      </c>
      <c r="C10" s="4" t="s">
        <v>1028</v>
      </c>
      <c r="D10" s="4" t="s">
        <v>1029</v>
      </c>
      <c r="E10" s="4" t="s">
        <v>1030</v>
      </c>
      <c r="F10" s="4" t="s">
        <v>1031</v>
      </c>
      <c r="G10" s="4" t="s">
        <v>967</v>
      </c>
      <c r="H10" s="4" t="s">
        <v>1032</v>
      </c>
      <c r="I10" s="4" t="s">
        <v>1033</v>
      </c>
      <c r="J10" s="4" t="s">
        <v>998</v>
      </c>
      <c r="K10" s="4" t="s">
        <v>998</v>
      </c>
      <c r="L10" s="4" t="s">
        <v>999</v>
      </c>
      <c r="M10" s="4" t="s">
        <v>1034</v>
      </c>
      <c r="N10" s="4" t="s">
        <v>1035</v>
      </c>
      <c r="O10" s="4" t="s">
        <v>1036</v>
      </c>
      <c r="P10" s="4" t="s">
        <v>1031</v>
      </c>
    </row>
    <row r="11" customFormat="false" ht="63.75" hidden="false" customHeight="true" outlineLevel="0" collapsed="false">
      <c r="A11" s="5" t="s">
        <v>1037</v>
      </c>
      <c r="B11" s="5" t="s">
        <v>1038</v>
      </c>
      <c r="C11" s="5" t="s">
        <v>1038</v>
      </c>
      <c r="D11" s="5" t="s">
        <v>1039</v>
      </c>
      <c r="E11" s="5" t="s">
        <v>1040</v>
      </c>
      <c r="F11" s="5" t="s">
        <v>1041</v>
      </c>
      <c r="G11" s="5" t="s">
        <v>967</v>
      </c>
      <c r="H11" s="5" t="s">
        <v>1042</v>
      </c>
      <c r="I11" s="5" t="s">
        <v>1043</v>
      </c>
      <c r="J11" s="5" t="s">
        <v>1044</v>
      </c>
      <c r="K11" s="5" t="s">
        <v>382</v>
      </c>
      <c r="L11" s="5" t="s">
        <v>1045</v>
      </c>
      <c r="M11" s="5" t="s">
        <v>1046</v>
      </c>
      <c r="N11" s="5" t="s">
        <v>1047</v>
      </c>
      <c r="O11" s="5" t="s">
        <v>1048</v>
      </c>
      <c r="P11" s="5" t="s">
        <v>1041</v>
      </c>
    </row>
  </sheetData>
  <autoFilter ref="A3:P11"/>
  <mergeCells count="2">
    <mergeCell ref="A1:P1"/>
    <mergeCell ref="A2:P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0"/>
    <col collapsed="false" customWidth="true" hidden="false" outlineLevel="0" max="3" min="3" style="0" width="12"/>
    <col collapsed="false" customWidth="true" hidden="false" outlineLevel="0" max="5" min="4" style="0" width="14"/>
    <col collapsed="false" customWidth="true" hidden="false" outlineLevel="0" max="6" min="6" style="0" width="26"/>
    <col collapsed="false" customWidth="true" hidden="false" outlineLevel="0" max="8" min="7" style="0" width="16"/>
    <col collapsed="false" customWidth="true" hidden="false" outlineLevel="0" max="9" min="9" style="0" width="13"/>
    <col collapsed="false" customWidth="true" hidden="false" outlineLevel="0" max="10" min="10" style="0" width="18"/>
    <col collapsed="false" customWidth="true" hidden="false" outlineLevel="0" max="11" min="11" style="0" width="56"/>
  </cols>
  <sheetData>
    <row r="1" customFormat="false" ht="27.75" hidden="false" customHeight="true" outlineLevel="0" collapsed="false">
      <c r="A1" s="1" t="s">
        <v>1049</v>
      </c>
      <c r="B1" s="1"/>
      <c r="C1" s="1"/>
      <c r="D1" s="1"/>
      <c r="E1" s="1"/>
      <c r="F1" s="1"/>
      <c r="G1" s="1"/>
      <c r="H1" s="1"/>
      <c r="I1" s="1"/>
      <c r="J1" s="1"/>
      <c r="K1" s="1"/>
    </row>
    <row r="2" customFormat="false" ht="43.5" hidden="false" customHeight="true" outlineLevel="0" collapsed="false">
      <c r="A2" s="2" t="s">
        <v>1050</v>
      </c>
      <c r="B2" s="2"/>
      <c r="C2" s="2"/>
      <c r="D2" s="2"/>
      <c r="E2" s="2"/>
      <c r="F2" s="2"/>
      <c r="G2" s="2"/>
      <c r="H2" s="2"/>
      <c r="I2" s="2"/>
      <c r="J2" s="2"/>
      <c r="K2" s="2"/>
    </row>
    <row r="3" customFormat="false" ht="43.5" hidden="false" customHeight="true" outlineLevel="0" collapsed="false">
      <c r="A3" s="3" t="s">
        <v>85</v>
      </c>
      <c r="B3" s="3" t="s">
        <v>923</v>
      </c>
      <c r="C3" s="3" t="s">
        <v>1051</v>
      </c>
      <c r="D3" s="3" t="s">
        <v>1052</v>
      </c>
      <c r="E3" s="3" t="s">
        <v>1053</v>
      </c>
      <c r="F3" s="3" t="s">
        <v>1054</v>
      </c>
      <c r="G3" s="3" t="s">
        <v>926</v>
      </c>
      <c r="H3" s="3" t="s">
        <v>927</v>
      </c>
      <c r="I3" s="3" t="s">
        <v>929</v>
      </c>
      <c r="J3" s="3" t="s">
        <v>12</v>
      </c>
      <c r="K3" s="3" t="s">
        <v>1055</v>
      </c>
    </row>
    <row r="4" customFormat="false" ht="33.75" hidden="false" customHeight="true" outlineLevel="0" collapsed="false">
      <c r="A4" s="7" t="s">
        <v>186</v>
      </c>
      <c r="B4" s="7" t="s">
        <v>394</v>
      </c>
      <c r="C4" s="7" t="s">
        <v>190</v>
      </c>
      <c r="D4" s="17" t="str">
        <f aca="false">INDEX('Supplier Universe &amp; Risk'!$I$4:$I$33,MATCH($A4,'Supplier Universe &amp; Risk'!$A$4:$A$33,0))</f>
        <v>Z01</v>
      </c>
      <c r="E4" s="7" t="s">
        <v>393</v>
      </c>
      <c r="F4" s="7" t="s">
        <v>934</v>
      </c>
      <c r="G4" s="7" t="s">
        <v>372</v>
      </c>
      <c r="H4" s="31" t="n">
        <f aca="false">SUMPRODUCT(ISNUMBER(SEARCH('Business &amp; Components'!$A$3:$A$5,$G4))*'Business &amp; Components'!$C$3:$C$5)</f>
        <v>1560</v>
      </c>
      <c r="I4" s="16" t="n">
        <f aca="false">INDEX('Supplier Universe &amp; Risk'!$U$4:$U$33,MATCH($A4,'Supplier Universe &amp; Risk'!$A$4:$A$33,0))</f>
        <v>79</v>
      </c>
      <c r="J4" s="7" t="s">
        <v>121</v>
      </c>
      <c r="K4" s="7" t="s">
        <v>1056</v>
      </c>
    </row>
    <row r="5" customFormat="false" ht="33.75" hidden="false" customHeight="true" outlineLevel="0" collapsed="false">
      <c r="A5" s="6" t="s">
        <v>249</v>
      </c>
      <c r="B5" s="6" t="s">
        <v>433</v>
      </c>
      <c r="C5" s="6" t="s">
        <v>252</v>
      </c>
      <c r="D5" s="22" t="str">
        <f aca="false">INDEX('Supplier Universe &amp; Risk'!$I$4:$I$33,MATCH($A5,'Supplier Universe &amp; Risk'!$A$4:$A$33,0))</f>
        <v>Z01</v>
      </c>
      <c r="E5" s="6" t="s">
        <v>1057</v>
      </c>
      <c r="F5" s="6" t="s">
        <v>934</v>
      </c>
      <c r="G5" s="6" t="s">
        <v>372</v>
      </c>
      <c r="H5" s="34" t="n">
        <f aca="false">SUMPRODUCT(ISNUMBER(SEARCH('Business &amp; Components'!$A$3:$A$5,$G5))*'Business &amp; Components'!$C$3:$C$5)</f>
        <v>1560</v>
      </c>
      <c r="I5" s="21" t="n">
        <f aca="false">INDEX('Supplier Universe &amp; Risk'!$U$4:$U$33,MATCH($A5,'Supplier Universe &amp; Risk'!$A$4:$A$33,0))</f>
        <v>74.4</v>
      </c>
      <c r="J5" s="6" t="s">
        <v>121</v>
      </c>
      <c r="K5" s="6" t="s">
        <v>1058</v>
      </c>
    </row>
    <row r="6" customFormat="false" ht="33.75" hidden="false" customHeight="true" outlineLevel="0" collapsed="false">
      <c r="A6" s="7" t="s">
        <v>256</v>
      </c>
      <c r="B6" s="7" t="s">
        <v>440</v>
      </c>
      <c r="C6" s="7" t="s">
        <v>259</v>
      </c>
      <c r="D6" s="17" t="str">
        <f aca="false">INDEX('Supplier Universe &amp; Risk'!$I$4:$I$33,MATCH($A6,'Supplier Universe &amp; Risk'!$A$4:$A$33,0))</f>
        <v>Z01</v>
      </c>
      <c r="E6" s="7" t="s">
        <v>1057</v>
      </c>
      <c r="F6" s="7" t="s">
        <v>934</v>
      </c>
      <c r="G6" s="7" t="s">
        <v>372</v>
      </c>
      <c r="H6" s="31" t="n">
        <f aca="false">SUMPRODUCT(ISNUMBER(SEARCH('Business &amp; Components'!$A$3:$A$5,$G6))*'Business &amp; Components'!$C$3:$C$5)</f>
        <v>1560</v>
      </c>
      <c r="I6" s="16" t="n">
        <f aca="false">INDEX('Supplier Universe &amp; Risk'!$U$4:$U$33,MATCH($A6,'Supplier Universe &amp; Risk'!$A$4:$A$33,0))</f>
        <v>73.4</v>
      </c>
      <c r="J6" s="7" t="s">
        <v>261</v>
      </c>
      <c r="K6" s="7" t="s">
        <v>1059</v>
      </c>
    </row>
    <row r="7" customFormat="false" ht="33.75" hidden="false" customHeight="true" outlineLevel="0" collapsed="false">
      <c r="A7" s="6" t="s">
        <v>223</v>
      </c>
      <c r="B7" s="6" t="s">
        <v>402</v>
      </c>
      <c r="C7" s="6" t="s">
        <v>226</v>
      </c>
      <c r="D7" s="22" t="str">
        <f aca="false">INDEX('Supplier Universe &amp; Risk'!$I$4:$I$33,MATCH($A7,'Supplier Universe &amp; Risk'!$A$4:$A$33,0))</f>
        <v>Z01</v>
      </c>
      <c r="E7" s="6" t="s">
        <v>393</v>
      </c>
      <c r="F7" s="6" t="s">
        <v>934</v>
      </c>
      <c r="G7" s="6" t="s">
        <v>372</v>
      </c>
      <c r="H7" s="34" t="n">
        <f aca="false">SUMPRODUCT(ISNUMBER(SEARCH('Business &amp; Components'!$A$3:$A$5,$G7))*'Business &amp; Components'!$C$3:$C$5)</f>
        <v>1560</v>
      </c>
      <c r="I7" s="21" t="n">
        <f aca="false">INDEX('Supplier Universe &amp; Risk'!$U$4:$U$33,MATCH($A7,'Supplier Universe &amp; Risk'!$A$4:$A$33,0))</f>
        <v>68.8</v>
      </c>
      <c r="J7" s="6" t="s">
        <v>121</v>
      </c>
      <c r="K7" s="6" t="s">
        <v>1060</v>
      </c>
    </row>
    <row r="8" customFormat="false" ht="48.75" hidden="false" customHeight="true" outlineLevel="0" collapsed="false">
      <c r="A8" s="7" t="s">
        <v>198</v>
      </c>
      <c r="B8" s="7" t="s">
        <v>404</v>
      </c>
      <c r="C8" s="7" t="s">
        <v>201</v>
      </c>
      <c r="D8" s="17" t="str">
        <f aca="false">INDEX('Supplier Universe &amp; Risk'!$I$4:$I$33,MATCH($A8,'Supplier Universe &amp; Risk'!$A$4:$A$33,0))</f>
        <v>Z01</v>
      </c>
      <c r="E8" s="7" t="s">
        <v>393</v>
      </c>
      <c r="F8" s="7" t="s">
        <v>936</v>
      </c>
      <c r="G8" s="7" t="s">
        <v>372</v>
      </c>
      <c r="H8" s="31" t="n">
        <f aca="false">SUMPRODUCT(ISNUMBER(SEARCH('Business &amp; Components'!$A$3:$A$5,$G8))*'Business &amp; Components'!$C$3:$C$5)</f>
        <v>1560</v>
      </c>
      <c r="I8" s="16" t="n">
        <f aca="false">INDEX('Supplier Universe &amp; Risk'!$U$4:$U$33,MATCH($A8,'Supplier Universe &amp; Risk'!$A$4:$A$33,0))</f>
        <v>79</v>
      </c>
      <c r="J8" s="7" t="s">
        <v>121</v>
      </c>
      <c r="K8" s="7" t="s">
        <v>1061</v>
      </c>
    </row>
    <row r="10" customFormat="false" ht="15" hidden="false" customHeight="false" outlineLevel="0" collapsed="false">
      <c r="A10" s="37" t="s">
        <v>1062</v>
      </c>
    </row>
    <row r="11" customFormat="false" ht="15" hidden="false" customHeight="false" outlineLevel="0" collapsed="false">
      <c r="A11" s="38" t="s">
        <v>1063</v>
      </c>
      <c r="D11" s="39" t="n">
        <f aca="false">COUNTIF('Supplier Universe &amp; Risk'!$I$4:$I$33,"Z01")</f>
        <v>5</v>
      </c>
    </row>
    <row r="12" customFormat="false" ht="15" hidden="false" customHeight="false" outlineLevel="0" collapsed="false">
      <c r="A12" s="38" t="s">
        <v>1064</v>
      </c>
      <c r="D12" s="38" t="n">
        <f aca="false">COUNTA(A4:A8)</f>
        <v>5</v>
      </c>
    </row>
    <row r="13" customFormat="false" ht="15" hidden="false" customHeight="false" outlineLevel="0" collapsed="false">
      <c r="A13" s="38" t="s">
        <v>1065</v>
      </c>
      <c r="D13" s="38" t="n">
        <f aca="false">D11-D12</f>
        <v>0</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3" min="1" style="0" width="28"/>
    <col collapsed="false" customWidth="true" hidden="false" outlineLevel="0" max="4" min="4" style="0" width="23"/>
    <col collapsed="false" customWidth="true" hidden="false" outlineLevel="0" max="6" min="5" style="0" width="28"/>
    <col collapsed="false" customWidth="true" hidden="false" outlineLevel="0" max="7" min="7" style="0" width="25"/>
    <col collapsed="false" customWidth="true" hidden="false" outlineLevel="0" max="10" min="8" style="0" width="28"/>
    <col collapsed="false" customWidth="true" hidden="false" outlineLevel="0" max="11" min="11" style="0" width="20"/>
    <col collapsed="false" customWidth="true" hidden="false" outlineLevel="0" max="12" min="12" style="0" width="27"/>
    <col collapsed="false" customWidth="true" hidden="false" outlineLevel="0" max="13" min="13" style="0" width="24"/>
    <col collapsed="false" customWidth="true" hidden="false" outlineLevel="0" max="16" min="14" style="0" width="52"/>
    <col collapsed="false" customWidth="true" hidden="false" outlineLevel="0" max="17" min="17" style="0" width="28"/>
    <col collapsed="false" customWidth="true" hidden="false" outlineLevel="0" max="18" min="18" style="0" width="52"/>
    <col collapsed="false" customWidth="true" hidden="false" outlineLevel="0" max="19" min="19" style="0" width="39"/>
    <col collapsed="false" customWidth="true" hidden="false" outlineLevel="0" max="20" min="20" style="0" width="21"/>
    <col collapsed="false" customWidth="true" hidden="false" outlineLevel="0" max="21" min="21" style="0" width="18"/>
    <col collapsed="false" customWidth="true" hidden="false" outlineLevel="0" max="22" min="22" style="0" width="34"/>
    <col collapsed="false" customWidth="true" hidden="false" outlineLevel="0" max="23" min="23" style="0" width="52"/>
  </cols>
  <sheetData>
    <row r="1" customFormat="false" ht="27.75" hidden="false" customHeight="true" outlineLevel="0" collapsed="false">
      <c r="A1" s="1" t="s">
        <v>1066</v>
      </c>
      <c r="B1" s="1"/>
      <c r="C1" s="1"/>
      <c r="D1" s="1"/>
      <c r="E1" s="1"/>
      <c r="F1" s="1"/>
      <c r="G1" s="1"/>
      <c r="H1" s="1"/>
      <c r="I1" s="1"/>
      <c r="J1" s="1"/>
      <c r="K1" s="1"/>
      <c r="L1" s="1"/>
      <c r="M1" s="1"/>
      <c r="N1" s="1"/>
      <c r="O1" s="1"/>
      <c r="P1" s="1"/>
      <c r="Q1" s="1"/>
      <c r="R1" s="1"/>
      <c r="S1" s="1"/>
      <c r="T1" s="1"/>
      <c r="U1" s="1"/>
      <c r="V1" s="1"/>
      <c r="W1" s="1"/>
    </row>
    <row r="2" customFormat="false" ht="31.5" hidden="false" customHeight="true" outlineLevel="0" collapsed="false">
      <c r="A2" s="2" t="s">
        <v>1067</v>
      </c>
      <c r="B2" s="2"/>
      <c r="C2" s="2"/>
      <c r="D2" s="2"/>
      <c r="E2" s="2"/>
      <c r="F2" s="2"/>
      <c r="G2" s="2"/>
      <c r="H2" s="2"/>
      <c r="I2" s="2"/>
      <c r="J2" s="2"/>
      <c r="K2" s="2"/>
      <c r="L2" s="2"/>
      <c r="M2" s="2"/>
      <c r="N2" s="2"/>
      <c r="O2" s="2"/>
      <c r="P2" s="2"/>
      <c r="Q2" s="2"/>
      <c r="R2" s="2"/>
      <c r="S2" s="2"/>
      <c r="T2" s="2"/>
      <c r="U2" s="2"/>
      <c r="V2" s="2"/>
      <c r="W2" s="2"/>
    </row>
    <row r="3" customFormat="false" ht="43.5" hidden="false" customHeight="true" outlineLevel="0" collapsed="false">
      <c r="A3" s="3" t="s">
        <v>842</v>
      </c>
      <c r="B3" s="3" t="s">
        <v>1068</v>
      </c>
      <c r="C3" s="3" t="s">
        <v>1069</v>
      </c>
      <c r="D3" s="3" t="s">
        <v>1070</v>
      </c>
      <c r="E3" s="3" t="s">
        <v>1071</v>
      </c>
      <c r="F3" s="3" t="s">
        <v>1072</v>
      </c>
      <c r="G3" s="3" t="s">
        <v>1073</v>
      </c>
      <c r="H3" s="3" t="s">
        <v>1074</v>
      </c>
      <c r="I3" s="3" t="s">
        <v>1075</v>
      </c>
      <c r="J3" s="3" t="s">
        <v>1076</v>
      </c>
      <c r="K3" s="3" t="s">
        <v>1077</v>
      </c>
      <c r="L3" s="3" t="s">
        <v>1078</v>
      </c>
      <c r="M3" s="3" t="s">
        <v>1079</v>
      </c>
      <c r="N3" s="3" t="s">
        <v>1080</v>
      </c>
      <c r="O3" s="3" t="s">
        <v>1081</v>
      </c>
      <c r="P3" s="3" t="s">
        <v>1082</v>
      </c>
      <c r="Q3" s="3" t="s">
        <v>1083</v>
      </c>
      <c r="R3" s="3" t="s">
        <v>1084</v>
      </c>
      <c r="S3" s="3" t="s">
        <v>531</v>
      </c>
      <c r="T3" s="3" t="s">
        <v>1085</v>
      </c>
      <c r="U3" s="3" t="s">
        <v>1086</v>
      </c>
      <c r="V3" s="3" t="s">
        <v>1087</v>
      </c>
      <c r="W3" s="3" t="s">
        <v>1088</v>
      </c>
    </row>
    <row r="4" customFormat="false" ht="78.75" hidden="false" customHeight="true" outlineLevel="0" collapsed="false">
      <c r="A4" s="4" t="s">
        <v>1089</v>
      </c>
      <c r="B4" s="4" t="s">
        <v>1090</v>
      </c>
      <c r="C4" s="4" t="s">
        <v>1091</v>
      </c>
      <c r="D4" s="4" t="s">
        <v>1092</v>
      </c>
      <c r="E4" s="4" t="n">
        <v>3</v>
      </c>
      <c r="F4" s="4" t="n">
        <v>3</v>
      </c>
      <c r="G4" s="4" t="n">
        <v>4</v>
      </c>
      <c r="H4" s="4" t="n">
        <v>2</v>
      </c>
      <c r="I4" s="4" t="n">
        <v>2</v>
      </c>
      <c r="J4" s="4" t="n">
        <v>3</v>
      </c>
      <c r="K4" s="40" t="n">
        <f aca="false">IF(COUNT(E4:J4)&lt;6,"n/s",E4*'Scoring &amp; Evidence Rules'!$C$10+F4*'Scoring &amp; Evidence Rules'!$C$11+G4*'Scoring &amp; Evidence Rules'!$C$12+H4*'Scoring &amp; Evidence Rules'!$C$13+I4*'Scoring &amp; Evidence Rules'!$C$14+J4*'Scoring &amp; Evidence Rules'!$C$15)</f>
        <v>2.9</v>
      </c>
      <c r="L4" s="4" t="str">
        <f aca="false">IF(NOT(ISNUMBER(K4)),"Not scored - no public evidence",IF(K4&gt;='Scoring &amp; Evidence Rules'!$C$24,"Promising but gaps remain","Partial / uncertain fit"))</f>
        <v>Partial / uncertain fit</v>
      </c>
      <c r="M4" s="4" t="s">
        <v>1093</v>
      </c>
      <c r="N4" s="4" t="s">
        <v>1094</v>
      </c>
      <c r="O4" s="4" t="s">
        <v>1095</v>
      </c>
      <c r="P4" s="41" t="s">
        <v>1096</v>
      </c>
      <c r="Q4" s="4" t="s">
        <v>1097</v>
      </c>
      <c r="R4" s="4" t="s">
        <v>1098</v>
      </c>
      <c r="S4" s="4" t="s">
        <v>1099</v>
      </c>
      <c r="T4" s="4" t="s">
        <v>1100</v>
      </c>
      <c r="U4" s="42" t="s">
        <v>1101</v>
      </c>
      <c r="V4" s="7" t="s">
        <v>1102</v>
      </c>
      <c r="W4" s="7" t="s">
        <v>1103</v>
      </c>
    </row>
    <row r="5" customFormat="false" ht="63.75" hidden="false" customHeight="true" outlineLevel="0" collapsed="false">
      <c r="A5" s="5" t="s">
        <v>1089</v>
      </c>
      <c r="B5" s="5" t="s">
        <v>1090</v>
      </c>
      <c r="C5" s="5" t="s">
        <v>1091</v>
      </c>
      <c r="D5" s="5" t="s">
        <v>1104</v>
      </c>
      <c r="E5" s="5" t="n">
        <v>3</v>
      </c>
      <c r="F5" s="5" t="n">
        <v>3</v>
      </c>
      <c r="G5" s="5" t="n">
        <v>3</v>
      </c>
      <c r="H5" s="5" t="n">
        <v>2</v>
      </c>
      <c r="I5" s="5" t="n">
        <v>2</v>
      </c>
      <c r="J5" s="5" t="n">
        <v>3</v>
      </c>
      <c r="K5" s="43" t="n">
        <f aca="false">IF(COUNT(E5:J5)&lt;6,"n/s",E5*'Scoring &amp; Evidence Rules'!$C$10+F5*'Scoring &amp; Evidence Rules'!$C$11+G5*'Scoring &amp; Evidence Rules'!$C$12+H5*'Scoring &amp; Evidence Rules'!$C$13+I5*'Scoring &amp; Evidence Rules'!$C$14+J5*'Scoring &amp; Evidence Rules'!$C$15)</f>
        <v>2.75</v>
      </c>
      <c r="L5" s="5" t="str">
        <f aca="false">IF(NOT(ISNUMBER(K5)),"Not scored - no public evidence",IF(K5&gt;='Scoring &amp; Evidence Rules'!$C$24,"Promising but gaps remain","Partial / uncertain fit"))</f>
        <v>Partial / uncertain fit</v>
      </c>
      <c r="M5" s="5" t="s">
        <v>1093</v>
      </c>
      <c r="N5" s="5" t="s">
        <v>1105</v>
      </c>
      <c r="O5" s="5" t="s">
        <v>1106</v>
      </c>
      <c r="P5" s="41" t="s">
        <v>1107</v>
      </c>
      <c r="Q5" s="5" t="s">
        <v>1097</v>
      </c>
      <c r="R5" s="5" t="s">
        <v>1108</v>
      </c>
      <c r="S5" s="5" t="s">
        <v>1109</v>
      </c>
      <c r="T5" s="5" t="s">
        <v>1100</v>
      </c>
      <c r="U5" s="42" t="s">
        <v>1101</v>
      </c>
      <c r="V5" s="6" t="s">
        <v>1102</v>
      </c>
      <c r="W5" s="6" t="s">
        <v>1110</v>
      </c>
    </row>
    <row r="6" customFormat="false" ht="63.75" hidden="false" customHeight="true" outlineLevel="0" collapsed="false">
      <c r="A6" s="4" t="s">
        <v>1111</v>
      </c>
      <c r="B6" s="4" t="s">
        <v>1112</v>
      </c>
      <c r="C6" s="4" t="s">
        <v>1091</v>
      </c>
      <c r="D6" s="4" t="s">
        <v>1092</v>
      </c>
      <c r="E6" s="4" t="n">
        <v>3</v>
      </c>
      <c r="F6" s="4" t="n">
        <v>3</v>
      </c>
      <c r="G6" s="4" t="n">
        <v>4</v>
      </c>
      <c r="H6" s="4" t="n">
        <v>2</v>
      </c>
      <c r="I6" s="4" t="n">
        <v>2</v>
      </c>
      <c r="J6" s="4" t="n">
        <v>3</v>
      </c>
      <c r="K6" s="40" t="n">
        <f aca="false">IF(COUNT(E6:J6)&lt;6,"n/s",E6*'Scoring &amp; Evidence Rules'!$C$10+F6*'Scoring &amp; Evidence Rules'!$C$11+G6*'Scoring &amp; Evidence Rules'!$C$12+H6*'Scoring &amp; Evidence Rules'!$C$13+I6*'Scoring &amp; Evidence Rules'!$C$14+J6*'Scoring &amp; Evidence Rules'!$C$15)</f>
        <v>2.9</v>
      </c>
      <c r="L6" s="4" t="str">
        <f aca="false">IF(NOT(ISNUMBER(K6)),"Not scored - no public evidence",IF(K6&gt;='Scoring &amp; Evidence Rules'!$C$24,"Promising but gaps remain","Partial / uncertain fit"))</f>
        <v>Partial / uncertain fit</v>
      </c>
      <c r="M6" s="4" t="s">
        <v>1093</v>
      </c>
      <c r="N6" s="4" t="s">
        <v>1113</v>
      </c>
      <c r="O6" s="4" t="s">
        <v>1114</v>
      </c>
      <c r="P6" s="41" t="s">
        <v>1096</v>
      </c>
      <c r="Q6" s="4" t="s">
        <v>1097</v>
      </c>
      <c r="R6" s="4" t="s">
        <v>1115</v>
      </c>
      <c r="S6" s="4" t="s">
        <v>1099</v>
      </c>
      <c r="T6" s="4" t="s">
        <v>1100</v>
      </c>
      <c r="U6" s="42" t="s">
        <v>1101</v>
      </c>
      <c r="V6" s="7" t="s">
        <v>1102</v>
      </c>
      <c r="W6" s="7" t="s">
        <v>1103</v>
      </c>
    </row>
    <row r="7" customFormat="false" ht="63.75" hidden="false" customHeight="true" outlineLevel="0" collapsed="false">
      <c r="A7" s="5" t="s">
        <v>1111</v>
      </c>
      <c r="B7" s="5" t="s">
        <v>1112</v>
      </c>
      <c r="C7" s="5" t="s">
        <v>1091</v>
      </c>
      <c r="D7" s="5" t="s">
        <v>1104</v>
      </c>
      <c r="E7" s="5" t="n">
        <v>3</v>
      </c>
      <c r="F7" s="5" t="n">
        <v>3</v>
      </c>
      <c r="G7" s="5" t="n">
        <v>3</v>
      </c>
      <c r="H7" s="5" t="n">
        <v>2</v>
      </c>
      <c r="I7" s="5" t="n">
        <v>2</v>
      </c>
      <c r="J7" s="5" t="n">
        <v>3</v>
      </c>
      <c r="K7" s="43" t="n">
        <f aca="false">IF(COUNT(E7:J7)&lt;6,"n/s",E7*'Scoring &amp; Evidence Rules'!$C$10+F7*'Scoring &amp; Evidence Rules'!$C$11+G7*'Scoring &amp; Evidence Rules'!$C$12+H7*'Scoring &amp; Evidence Rules'!$C$13+I7*'Scoring &amp; Evidence Rules'!$C$14+J7*'Scoring &amp; Evidence Rules'!$C$15)</f>
        <v>2.75</v>
      </c>
      <c r="L7" s="5" t="str">
        <f aca="false">IF(NOT(ISNUMBER(K7)),"Not scored - no public evidence",IF(K7&gt;='Scoring &amp; Evidence Rules'!$C$24,"Promising but gaps remain","Partial / uncertain fit"))</f>
        <v>Partial / uncertain fit</v>
      </c>
      <c r="M7" s="5" t="s">
        <v>1093</v>
      </c>
      <c r="N7" s="5" t="s">
        <v>1116</v>
      </c>
      <c r="O7" s="5" t="s">
        <v>1117</v>
      </c>
      <c r="P7" s="41" t="s">
        <v>1118</v>
      </c>
      <c r="Q7" s="5" t="s">
        <v>1097</v>
      </c>
      <c r="R7" s="5" t="s">
        <v>1119</v>
      </c>
      <c r="S7" s="5" t="s">
        <v>1120</v>
      </c>
      <c r="T7" s="5" t="s">
        <v>1100</v>
      </c>
      <c r="U7" s="42" t="s">
        <v>1101</v>
      </c>
      <c r="V7" s="6" t="s">
        <v>1102</v>
      </c>
      <c r="W7" s="6" t="s">
        <v>1110</v>
      </c>
    </row>
    <row r="8" customFormat="false" ht="78.75" hidden="false" customHeight="true" outlineLevel="0" collapsed="false">
      <c r="A8" s="4" t="s">
        <v>1121</v>
      </c>
      <c r="B8" s="4" t="s">
        <v>1122</v>
      </c>
      <c r="C8" s="4" t="s">
        <v>373</v>
      </c>
      <c r="D8" s="4" t="s">
        <v>1123</v>
      </c>
      <c r="E8" s="4" t="n">
        <v>4</v>
      </c>
      <c r="F8" s="4" t="n">
        <v>3</v>
      </c>
      <c r="G8" s="4" t="n">
        <v>5</v>
      </c>
      <c r="H8" s="4" t="n">
        <v>3</v>
      </c>
      <c r="I8" s="4" t="n">
        <v>3</v>
      </c>
      <c r="J8" s="4" t="n">
        <v>3</v>
      </c>
      <c r="K8" s="40" t="n">
        <f aca="false">IF(COUNT(E8:J8)&lt;6,"n/s",E8*'Scoring &amp; Evidence Rules'!$C$10+F8*'Scoring &amp; Evidence Rules'!$C$11+G8*'Scoring &amp; Evidence Rules'!$C$12+H8*'Scoring &amp; Evidence Rules'!$C$13+I8*'Scoring &amp; Evidence Rules'!$C$14+J8*'Scoring &amp; Evidence Rules'!$C$15)</f>
        <v>3.6</v>
      </c>
      <c r="L8" s="4" t="str">
        <f aca="false">IF(NOT(ISNUMBER(K8)),"Not scored - no public evidence",IF(K8&gt;='Scoring &amp; Evidence Rules'!$C$24,"Promising but gaps remain","Partial / uncertain fit"))</f>
        <v>Promising but gaps remain</v>
      </c>
      <c r="M8" s="4" t="s">
        <v>1124</v>
      </c>
      <c r="N8" s="4" t="s">
        <v>1125</v>
      </c>
      <c r="O8" s="4" t="s">
        <v>1126</v>
      </c>
      <c r="P8" s="41" t="s">
        <v>1127</v>
      </c>
      <c r="Q8" s="4" t="s">
        <v>1097</v>
      </c>
      <c r="R8" s="4" t="s">
        <v>1128</v>
      </c>
      <c r="S8" s="4" t="s">
        <v>1129</v>
      </c>
      <c r="T8" s="4" t="s">
        <v>1100</v>
      </c>
      <c r="U8" s="42" t="s">
        <v>1101</v>
      </c>
      <c r="V8" s="7" t="s">
        <v>1130</v>
      </c>
      <c r="W8" s="7" t="s">
        <v>1131</v>
      </c>
    </row>
    <row r="9" customFormat="false" ht="63.75" hidden="false" customHeight="true" outlineLevel="0" collapsed="false">
      <c r="A9" s="5" t="s">
        <v>1121</v>
      </c>
      <c r="B9" s="5" t="s">
        <v>1122</v>
      </c>
      <c r="C9" s="5" t="s">
        <v>373</v>
      </c>
      <c r="D9" s="5" t="s">
        <v>1132</v>
      </c>
      <c r="E9" s="5" t="n">
        <v>4</v>
      </c>
      <c r="F9" s="5" t="n">
        <v>3</v>
      </c>
      <c r="G9" s="5" t="n">
        <v>4</v>
      </c>
      <c r="H9" s="5" t="n">
        <v>3</v>
      </c>
      <c r="I9" s="5" t="n">
        <v>3</v>
      </c>
      <c r="J9" s="5" t="n">
        <v>3</v>
      </c>
      <c r="K9" s="43" t="n">
        <f aca="false">IF(COUNT(E9:J9)&lt;6,"n/s",E9*'Scoring &amp; Evidence Rules'!$C$10+F9*'Scoring &amp; Evidence Rules'!$C$11+G9*'Scoring &amp; Evidence Rules'!$C$12+H9*'Scoring &amp; Evidence Rules'!$C$13+I9*'Scoring &amp; Evidence Rules'!$C$14+J9*'Scoring &amp; Evidence Rules'!$C$15)</f>
        <v>3.45</v>
      </c>
      <c r="L9" s="5" t="str">
        <f aca="false">IF(NOT(ISNUMBER(K9)),"Not scored - no public evidence",IF(K9&gt;='Scoring &amp; Evidence Rules'!$C$24,"Promising but gaps remain","Partial / uncertain fit"))</f>
        <v>Promising but gaps remain</v>
      </c>
      <c r="M9" s="5" t="s">
        <v>1124</v>
      </c>
      <c r="N9" s="5" t="s">
        <v>1133</v>
      </c>
      <c r="O9" s="5" t="s">
        <v>1134</v>
      </c>
      <c r="P9" s="41" t="s">
        <v>1135</v>
      </c>
      <c r="Q9" s="5" t="s">
        <v>1097</v>
      </c>
      <c r="R9" s="5" t="s">
        <v>1136</v>
      </c>
      <c r="S9" s="5" t="s">
        <v>1129</v>
      </c>
      <c r="T9" s="5" t="s">
        <v>1100</v>
      </c>
      <c r="U9" s="42" t="s">
        <v>1101</v>
      </c>
      <c r="V9" s="6" t="s">
        <v>1130</v>
      </c>
      <c r="W9" s="6" t="s">
        <v>1131</v>
      </c>
    </row>
    <row r="10" customFormat="false" ht="63.75" hidden="false" customHeight="true" outlineLevel="0" collapsed="false">
      <c r="A10" s="4" t="s">
        <v>1137</v>
      </c>
      <c r="B10" s="4" t="s">
        <v>1138</v>
      </c>
      <c r="C10" s="4" t="s">
        <v>378</v>
      </c>
      <c r="D10" s="4" t="s">
        <v>1139</v>
      </c>
      <c r="E10" s="4" t="n">
        <v>4</v>
      </c>
      <c r="F10" s="4" t="n">
        <v>4</v>
      </c>
      <c r="G10" s="4" t="n">
        <v>5</v>
      </c>
      <c r="H10" s="4" t="n">
        <v>4</v>
      </c>
      <c r="I10" s="4" t="n">
        <v>3</v>
      </c>
      <c r="J10" s="4" t="n">
        <v>3</v>
      </c>
      <c r="K10" s="40" t="n">
        <f aca="false">IF(COUNT(E10:J10)&lt;6,"n/s",E10*'Scoring &amp; Evidence Rules'!$C$10+F10*'Scoring &amp; Evidence Rules'!$C$11+G10*'Scoring &amp; Evidence Rules'!$C$12+H10*'Scoring &amp; Evidence Rules'!$C$13+I10*'Scoring &amp; Evidence Rules'!$C$14+J10*'Scoring &amp; Evidence Rules'!$C$15)</f>
        <v>3.95</v>
      </c>
      <c r="L10" s="4" t="str">
        <f aca="false">IF(NOT(ISNUMBER(K10)),"Not scored - no public evidence",IF(K10&gt;='Scoring &amp; Evidence Rules'!$C$24,"Promising but gaps remain","Partial / uncertain fit"))</f>
        <v>Promising but gaps remain</v>
      </c>
      <c r="M10" s="4" t="s">
        <v>254</v>
      </c>
      <c r="N10" s="4" t="s">
        <v>1140</v>
      </c>
      <c r="O10" s="4" t="s">
        <v>1141</v>
      </c>
      <c r="P10" s="41" t="s">
        <v>1142</v>
      </c>
      <c r="Q10" s="4" t="s">
        <v>1097</v>
      </c>
      <c r="R10" s="4" t="s">
        <v>1143</v>
      </c>
      <c r="S10" s="4" t="s">
        <v>1099</v>
      </c>
      <c r="T10" s="4" t="s">
        <v>1100</v>
      </c>
      <c r="U10" s="42" t="s">
        <v>1101</v>
      </c>
      <c r="V10" s="7" t="s">
        <v>1144</v>
      </c>
      <c r="W10" s="7" t="s">
        <v>1145</v>
      </c>
    </row>
    <row r="11" customFormat="false" ht="63.75" hidden="false" customHeight="true" outlineLevel="0" collapsed="false">
      <c r="A11" s="5" t="s">
        <v>1137</v>
      </c>
      <c r="B11" s="5" t="s">
        <v>1138</v>
      </c>
      <c r="C11" s="5" t="s">
        <v>378</v>
      </c>
      <c r="D11" s="5" t="s">
        <v>1146</v>
      </c>
      <c r="E11" s="5" t="n">
        <v>4</v>
      </c>
      <c r="F11" s="5" t="n">
        <v>4</v>
      </c>
      <c r="G11" s="5" t="n">
        <v>5</v>
      </c>
      <c r="H11" s="5" t="n">
        <v>4</v>
      </c>
      <c r="I11" s="5" t="n">
        <v>3</v>
      </c>
      <c r="J11" s="5" t="n">
        <v>3</v>
      </c>
      <c r="K11" s="43" t="n">
        <f aca="false">IF(COUNT(E11:J11)&lt;6,"n/s",E11*'Scoring &amp; Evidence Rules'!$C$10+F11*'Scoring &amp; Evidence Rules'!$C$11+G11*'Scoring &amp; Evidence Rules'!$C$12+H11*'Scoring &amp; Evidence Rules'!$C$13+I11*'Scoring &amp; Evidence Rules'!$C$14+J11*'Scoring &amp; Evidence Rules'!$C$15)</f>
        <v>3.95</v>
      </c>
      <c r="L11" s="5" t="str">
        <f aca="false">IF(NOT(ISNUMBER(K11)),"Not scored - no public evidence",IF(K11&gt;='Scoring &amp; Evidence Rules'!$C$24,"Promising but gaps remain","Partial / uncertain fit"))</f>
        <v>Promising but gaps remain</v>
      </c>
      <c r="M11" s="5" t="s">
        <v>254</v>
      </c>
      <c r="N11" s="5" t="s">
        <v>1147</v>
      </c>
      <c r="O11" s="5" t="s">
        <v>1148</v>
      </c>
      <c r="P11" s="41" t="s">
        <v>1149</v>
      </c>
      <c r="Q11" s="5" t="s">
        <v>1097</v>
      </c>
      <c r="R11" s="5" t="s">
        <v>1150</v>
      </c>
      <c r="S11" s="5" t="s">
        <v>1099</v>
      </c>
      <c r="T11" s="5" t="s">
        <v>1100</v>
      </c>
      <c r="U11" s="42" t="s">
        <v>1101</v>
      </c>
      <c r="V11" s="6" t="s">
        <v>1144</v>
      </c>
      <c r="W11" s="6" t="s">
        <v>1145</v>
      </c>
    </row>
    <row r="12" customFormat="false" ht="63.75" hidden="false" customHeight="true" outlineLevel="0" collapsed="false">
      <c r="A12" s="4" t="s">
        <v>1151</v>
      </c>
      <c r="B12" s="4" t="s">
        <v>1152</v>
      </c>
      <c r="C12" s="4" t="s">
        <v>380</v>
      </c>
      <c r="D12" s="4" t="s">
        <v>1153</v>
      </c>
      <c r="E12" s="4" t="n">
        <v>4</v>
      </c>
      <c r="F12" s="4" t="n">
        <v>4</v>
      </c>
      <c r="G12" s="4" t="n">
        <v>4</v>
      </c>
      <c r="H12" s="4" t="n">
        <v>3</v>
      </c>
      <c r="I12" s="4" t="n">
        <v>3</v>
      </c>
      <c r="J12" s="4" t="n">
        <v>3</v>
      </c>
      <c r="K12" s="40" t="n">
        <f aca="false">IF(COUNT(E12:J12)&lt;6,"n/s",E12*'Scoring &amp; Evidence Rules'!$C$10+F12*'Scoring &amp; Evidence Rules'!$C$11+G12*'Scoring &amp; Evidence Rules'!$C$12+H12*'Scoring &amp; Evidence Rules'!$C$13+I12*'Scoring &amp; Evidence Rules'!$C$14+J12*'Scoring &amp; Evidence Rules'!$C$15)</f>
        <v>3.65</v>
      </c>
      <c r="L12" s="4" t="str">
        <f aca="false">IF(NOT(ISNUMBER(K12)),"Not scored - no public evidence",IF(K12&gt;='Scoring &amp; Evidence Rules'!$C$24,"Promising but gaps remain","Partial / uncertain fit"))</f>
        <v>Promising but gaps remain</v>
      </c>
      <c r="M12" s="4" t="s">
        <v>1124</v>
      </c>
      <c r="N12" s="4" t="s">
        <v>1154</v>
      </c>
      <c r="O12" s="4" t="s">
        <v>1155</v>
      </c>
      <c r="P12" s="41" t="s">
        <v>1156</v>
      </c>
      <c r="Q12" s="4" t="s">
        <v>1097</v>
      </c>
      <c r="R12" s="4" t="s">
        <v>1157</v>
      </c>
      <c r="S12" s="4" t="s">
        <v>1120</v>
      </c>
      <c r="T12" s="4" t="s">
        <v>1100</v>
      </c>
      <c r="U12" s="42" t="s">
        <v>1101</v>
      </c>
      <c r="V12" s="7" t="s">
        <v>1158</v>
      </c>
      <c r="W12" s="7" t="s">
        <v>1145</v>
      </c>
    </row>
    <row r="13" customFormat="false" ht="63.75" hidden="false" customHeight="true" outlineLevel="0" collapsed="false">
      <c r="A13" s="5" t="s">
        <v>1151</v>
      </c>
      <c r="B13" s="5" t="s">
        <v>1152</v>
      </c>
      <c r="C13" s="5" t="s">
        <v>380</v>
      </c>
      <c r="D13" s="5" t="s">
        <v>1159</v>
      </c>
      <c r="E13" s="5" t="n">
        <v>4</v>
      </c>
      <c r="F13" s="5" t="n">
        <v>4</v>
      </c>
      <c r="G13" s="5" t="n">
        <v>3</v>
      </c>
      <c r="H13" s="5" t="n">
        <v>3</v>
      </c>
      <c r="I13" s="5" t="n">
        <v>3</v>
      </c>
      <c r="J13" s="5" t="n">
        <v>3</v>
      </c>
      <c r="K13" s="43" t="n">
        <f aca="false">IF(COUNT(E13:J13)&lt;6,"n/s",E13*'Scoring &amp; Evidence Rules'!$C$10+F13*'Scoring &amp; Evidence Rules'!$C$11+G13*'Scoring &amp; Evidence Rules'!$C$12+H13*'Scoring &amp; Evidence Rules'!$C$13+I13*'Scoring &amp; Evidence Rules'!$C$14+J13*'Scoring &amp; Evidence Rules'!$C$15)</f>
        <v>3.5</v>
      </c>
      <c r="L13" s="5" t="str">
        <f aca="false">IF(NOT(ISNUMBER(K13)),"Not scored - no public evidence",IF(K13&gt;='Scoring &amp; Evidence Rules'!$C$24,"Promising but gaps remain","Partial / uncertain fit"))</f>
        <v>Promising but gaps remain</v>
      </c>
      <c r="M13" s="5" t="s">
        <v>1124</v>
      </c>
      <c r="N13" s="5" t="s">
        <v>1160</v>
      </c>
      <c r="O13" s="5" t="s">
        <v>1161</v>
      </c>
      <c r="P13" s="41" t="s">
        <v>1162</v>
      </c>
      <c r="Q13" s="5" t="s">
        <v>1097</v>
      </c>
      <c r="R13" s="5" t="s">
        <v>1163</v>
      </c>
      <c r="S13" s="5" t="s">
        <v>1099</v>
      </c>
      <c r="T13" s="5" t="s">
        <v>1100</v>
      </c>
      <c r="U13" s="42" t="s">
        <v>1101</v>
      </c>
      <c r="V13" s="6" t="s">
        <v>1158</v>
      </c>
      <c r="W13" s="6" t="s">
        <v>1145</v>
      </c>
    </row>
    <row r="14" customFormat="false" ht="63.75" hidden="false" customHeight="true" outlineLevel="0" collapsed="false">
      <c r="A14" s="4" t="s">
        <v>1164</v>
      </c>
      <c r="B14" s="4" t="s">
        <v>1165</v>
      </c>
      <c r="C14" s="4" t="s">
        <v>383</v>
      </c>
      <c r="D14" s="4" t="s">
        <v>1166</v>
      </c>
      <c r="E14" s="4" t="n">
        <v>4</v>
      </c>
      <c r="F14" s="4" t="n">
        <v>4</v>
      </c>
      <c r="G14" s="4" t="n">
        <v>4</v>
      </c>
      <c r="H14" s="4" t="n">
        <v>3</v>
      </c>
      <c r="I14" s="4" t="n">
        <v>3</v>
      </c>
      <c r="J14" s="4" t="n">
        <v>3</v>
      </c>
      <c r="K14" s="40" t="n">
        <f aca="false">IF(COUNT(E14:J14)&lt;6,"n/s",E14*'Scoring &amp; Evidence Rules'!$C$10+F14*'Scoring &amp; Evidence Rules'!$C$11+G14*'Scoring &amp; Evidence Rules'!$C$12+H14*'Scoring &amp; Evidence Rules'!$C$13+I14*'Scoring &amp; Evidence Rules'!$C$14+J14*'Scoring &amp; Evidence Rules'!$C$15)</f>
        <v>3.65</v>
      </c>
      <c r="L14" s="4" t="str">
        <f aca="false">IF(NOT(ISNUMBER(K14)),"Not scored - no public evidence",IF(K14&gt;='Scoring &amp; Evidence Rules'!$C$24,"Promising but gaps remain","Partial / uncertain fit"))</f>
        <v>Promising but gaps remain</v>
      </c>
      <c r="M14" s="4" t="s">
        <v>1124</v>
      </c>
      <c r="N14" s="4" t="s">
        <v>1167</v>
      </c>
      <c r="O14" s="4" t="s">
        <v>1168</v>
      </c>
      <c r="P14" s="41" t="s">
        <v>1169</v>
      </c>
      <c r="Q14" s="4" t="s">
        <v>1097</v>
      </c>
      <c r="R14" s="4" t="s">
        <v>1170</v>
      </c>
      <c r="S14" s="4" t="s">
        <v>1099</v>
      </c>
      <c r="T14" s="4" t="s">
        <v>1100</v>
      </c>
      <c r="U14" s="42" t="s">
        <v>1101</v>
      </c>
      <c r="V14" s="7" t="s">
        <v>1171</v>
      </c>
      <c r="W14" s="7" t="s">
        <v>1145</v>
      </c>
    </row>
    <row r="15" customFormat="false" ht="63.75" hidden="false" customHeight="true" outlineLevel="0" collapsed="false">
      <c r="A15" s="5" t="s">
        <v>1164</v>
      </c>
      <c r="B15" s="5" t="s">
        <v>1165</v>
      </c>
      <c r="C15" s="5" t="s">
        <v>383</v>
      </c>
      <c r="D15" s="5" t="s">
        <v>1172</v>
      </c>
      <c r="E15" s="5" t="n">
        <v>4</v>
      </c>
      <c r="F15" s="5" t="n">
        <v>4</v>
      </c>
      <c r="G15" s="5" t="n">
        <v>4</v>
      </c>
      <c r="H15" s="5" t="n">
        <v>3</v>
      </c>
      <c r="I15" s="5" t="n">
        <v>3</v>
      </c>
      <c r="J15" s="5" t="n">
        <v>3</v>
      </c>
      <c r="K15" s="43" t="n">
        <f aca="false">IF(COUNT(E15:J15)&lt;6,"n/s",E15*'Scoring &amp; Evidence Rules'!$C$10+F15*'Scoring &amp; Evidence Rules'!$C$11+G15*'Scoring &amp; Evidence Rules'!$C$12+H15*'Scoring &amp; Evidence Rules'!$C$13+I15*'Scoring &amp; Evidence Rules'!$C$14+J15*'Scoring &amp; Evidence Rules'!$C$15)</f>
        <v>3.65</v>
      </c>
      <c r="L15" s="5" t="str">
        <f aca="false">IF(NOT(ISNUMBER(K15)),"Not scored - no public evidence",IF(K15&gt;='Scoring &amp; Evidence Rules'!$C$24,"Promising but gaps remain","Partial / uncertain fit"))</f>
        <v>Promising but gaps remain</v>
      </c>
      <c r="M15" s="5" t="s">
        <v>1124</v>
      </c>
      <c r="N15" s="5" t="s">
        <v>1173</v>
      </c>
      <c r="O15" s="5" t="s">
        <v>1174</v>
      </c>
      <c r="P15" s="41" t="s">
        <v>1175</v>
      </c>
      <c r="Q15" s="5" t="s">
        <v>1097</v>
      </c>
      <c r="R15" s="5" t="s">
        <v>1176</v>
      </c>
      <c r="S15" s="5" t="s">
        <v>1177</v>
      </c>
      <c r="T15" s="5" t="s">
        <v>1100</v>
      </c>
      <c r="U15" s="42" t="s">
        <v>1101</v>
      </c>
      <c r="V15" s="6" t="s">
        <v>1171</v>
      </c>
      <c r="W15" s="6" t="s">
        <v>1145</v>
      </c>
    </row>
    <row r="16" customFormat="false" ht="63.75" hidden="false" customHeight="true" outlineLevel="0" collapsed="false">
      <c r="A16" s="4" t="s">
        <v>1178</v>
      </c>
      <c r="B16" s="4" t="s">
        <v>1179</v>
      </c>
      <c r="C16" s="4" t="s">
        <v>1180</v>
      </c>
      <c r="D16" s="4" t="s">
        <v>1123</v>
      </c>
      <c r="E16" s="4" t="n">
        <v>4</v>
      </c>
      <c r="F16" s="4" t="n">
        <v>3</v>
      </c>
      <c r="G16" s="4" t="n">
        <v>5</v>
      </c>
      <c r="H16" s="4" t="n">
        <v>3</v>
      </c>
      <c r="I16" s="4" t="n">
        <v>2</v>
      </c>
      <c r="J16" s="4" t="n">
        <v>3</v>
      </c>
      <c r="K16" s="40" t="n">
        <f aca="false">IF(COUNT(E16:J16)&lt;6,"n/s",E16*'Scoring &amp; Evidence Rules'!$C$10+F16*'Scoring &amp; Evidence Rules'!$C$11+G16*'Scoring &amp; Evidence Rules'!$C$12+H16*'Scoring &amp; Evidence Rules'!$C$13+I16*'Scoring &amp; Evidence Rules'!$C$14+J16*'Scoring &amp; Evidence Rules'!$C$15)</f>
        <v>3.5</v>
      </c>
      <c r="L16" s="4" t="str">
        <f aca="false">IF(NOT(ISNUMBER(K16)),"Not scored - no public evidence",IF(K16&gt;='Scoring &amp; Evidence Rules'!$C$24,"Promising but gaps remain","Partial / uncertain fit"))</f>
        <v>Promising but gaps remain</v>
      </c>
      <c r="M16" s="4" t="s">
        <v>1093</v>
      </c>
      <c r="N16" s="4" t="s">
        <v>1181</v>
      </c>
      <c r="O16" s="4" t="s">
        <v>1182</v>
      </c>
      <c r="P16" s="41" t="s">
        <v>1127</v>
      </c>
      <c r="Q16" s="4" t="s">
        <v>1097</v>
      </c>
      <c r="R16" s="4" t="s">
        <v>1183</v>
      </c>
      <c r="S16" s="4" t="s">
        <v>1129</v>
      </c>
      <c r="T16" s="4" t="s">
        <v>1100</v>
      </c>
      <c r="U16" s="42" t="s">
        <v>1101</v>
      </c>
      <c r="V16" s="7" t="s">
        <v>1184</v>
      </c>
      <c r="W16" s="7" t="s">
        <v>1131</v>
      </c>
    </row>
    <row r="17" customFormat="false" ht="63.75" hidden="false" customHeight="true" outlineLevel="0" collapsed="false">
      <c r="A17" s="5" t="s">
        <v>1178</v>
      </c>
      <c r="B17" s="5" t="s">
        <v>1179</v>
      </c>
      <c r="C17" s="5" t="s">
        <v>1180</v>
      </c>
      <c r="D17" s="5" t="s">
        <v>1132</v>
      </c>
      <c r="E17" s="5" t="n">
        <v>4</v>
      </c>
      <c r="F17" s="5" t="n">
        <v>3</v>
      </c>
      <c r="G17" s="5" t="n">
        <v>4</v>
      </c>
      <c r="H17" s="5" t="n">
        <v>3</v>
      </c>
      <c r="I17" s="5" t="n">
        <v>2</v>
      </c>
      <c r="J17" s="5" t="n">
        <v>3</v>
      </c>
      <c r="K17" s="43" t="n">
        <f aca="false">IF(COUNT(E17:J17)&lt;6,"n/s",E17*'Scoring &amp; Evidence Rules'!$C$10+F17*'Scoring &amp; Evidence Rules'!$C$11+G17*'Scoring &amp; Evidence Rules'!$C$12+H17*'Scoring &amp; Evidence Rules'!$C$13+I17*'Scoring &amp; Evidence Rules'!$C$14+J17*'Scoring &amp; Evidence Rules'!$C$15)</f>
        <v>3.35</v>
      </c>
      <c r="L17" s="5" t="str">
        <f aca="false">IF(NOT(ISNUMBER(K17)),"Not scored - no public evidence",IF(K17&gt;='Scoring &amp; Evidence Rules'!$C$24,"Promising but gaps remain","Partial / uncertain fit"))</f>
        <v>Promising but gaps remain</v>
      </c>
      <c r="M17" s="5" t="s">
        <v>1093</v>
      </c>
      <c r="N17" s="5" t="s">
        <v>1185</v>
      </c>
      <c r="O17" s="5" t="s">
        <v>1186</v>
      </c>
      <c r="P17" s="41" t="s">
        <v>1135</v>
      </c>
      <c r="Q17" s="5" t="s">
        <v>1097</v>
      </c>
      <c r="R17" s="5" t="s">
        <v>1187</v>
      </c>
      <c r="S17" s="5" t="s">
        <v>1129</v>
      </c>
      <c r="T17" s="5" t="s">
        <v>1100</v>
      </c>
      <c r="U17" s="42" t="s">
        <v>1101</v>
      </c>
      <c r="V17" s="6" t="s">
        <v>1184</v>
      </c>
      <c r="W17" s="6" t="s">
        <v>1131</v>
      </c>
    </row>
    <row r="18" customFormat="false" ht="78.75" hidden="false" customHeight="true" outlineLevel="0" collapsed="false">
      <c r="A18" s="7" t="s">
        <v>1188</v>
      </c>
      <c r="B18" s="7" t="s">
        <v>1189</v>
      </c>
      <c r="C18" s="7" t="s">
        <v>1190</v>
      </c>
      <c r="D18" s="7" t="s">
        <v>1191</v>
      </c>
      <c r="E18" s="7" t="n">
        <v>4</v>
      </c>
      <c r="F18" s="7" t="n">
        <v>4</v>
      </c>
      <c r="G18" s="7" t="n">
        <v>4</v>
      </c>
      <c r="H18" s="7" t="n">
        <v>3</v>
      </c>
      <c r="I18" s="7" t="n">
        <v>2</v>
      </c>
      <c r="J18" s="7" t="n">
        <v>3</v>
      </c>
      <c r="K18" s="44" t="n">
        <f aca="false">IF(COUNT(E18:J18)&lt;6,"n/s",E18*'Scoring &amp; Evidence Rules'!$C$10+F18*'Scoring &amp; Evidence Rules'!$C$11+G18*'Scoring &amp; Evidence Rules'!$C$12+H18*'Scoring &amp; Evidence Rules'!$C$13+I18*'Scoring &amp; Evidence Rules'!$C$14+J18*'Scoring &amp; Evidence Rules'!$C$15)</f>
        <v>3.55</v>
      </c>
      <c r="L18" s="7" t="str">
        <f aca="false">IF(NOT(ISNUMBER(K18)),"Not scored - no public evidence",IF(K18&gt;='Scoring &amp; Evidence Rules'!$C$24,"Promising but gaps remain","Partial / uncertain fit"))</f>
        <v>Promising but gaps remain</v>
      </c>
      <c r="M18" s="7" t="s">
        <v>254</v>
      </c>
      <c r="N18" s="7" t="s">
        <v>1192</v>
      </c>
      <c r="O18" s="7" t="s">
        <v>1193</v>
      </c>
      <c r="P18" s="45" t="s">
        <v>1194</v>
      </c>
      <c r="Q18" s="7" t="s">
        <v>1097</v>
      </c>
      <c r="R18" s="7" t="s">
        <v>1195</v>
      </c>
      <c r="S18" s="7" t="s">
        <v>1196</v>
      </c>
      <c r="T18" s="7" t="s">
        <v>1100</v>
      </c>
      <c r="U18" s="7" t="s">
        <v>1197</v>
      </c>
      <c r="V18" s="7" t="s">
        <v>1198</v>
      </c>
      <c r="W18" s="7" t="s">
        <v>1199</v>
      </c>
    </row>
    <row r="19" customFormat="false" ht="93.75" hidden="false" customHeight="true" outlineLevel="0" collapsed="false">
      <c r="A19" s="6" t="s">
        <v>1188</v>
      </c>
      <c r="B19" s="6" t="s">
        <v>1189</v>
      </c>
      <c r="C19" s="6" t="s">
        <v>1190</v>
      </c>
      <c r="D19" s="6" t="s">
        <v>1200</v>
      </c>
      <c r="E19" s="6" t="n">
        <v>4</v>
      </c>
      <c r="F19" s="6" t="n">
        <v>4</v>
      </c>
      <c r="G19" s="6" t="n">
        <v>4</v>
      </c>
      <c r="H19" s="6" t="n">
        <v>3</v>
      </c>
      <c r="I19" s="6" t="n">
        <v>2</v>
      </c>
      <c r="J19" s="6" t="n">
        <v>4</v>
      </c>
      <c r="K19" s="46" t="n">
        <f aca="false">IF(COUNT(E19:J19)&lt;6,"n/s",E19*'Scoring &amp; Evidence Rules'!$C$10+F19*'Scoring &amp; Evidence Rules'!$C$11+G19*'Scoring &amp; Evidence Rules'!$C$12+H19*'Scoring &amp; Evidence Rules'!$C$13+I19*'Scoring &amp; Evidence Rules'!$C$14+J19*'Scoring &amp; Evidence Rules'!$C$15)</f>
        <v>3.65</v>
      </c>
      <c r="L19" s="6" t="str">
        <f aca="false">IF(NOT(ISNUMBER(K19)),"Not scored - no public evidence",IF(K19&gt;='Scoring &amp; Evidence Rules'!$C$24,"Promising but gaps remain","Partial / uncertain fit"))</f>
        <v>Promising but gaps remain</v>
      </c>
      <c r="M19" s="6" t="s">
        <v>1124</v>
      </c>
      <c r="N19" s="6" t="s">
        <v>1201</v>
      </c>
      <c r="O19" s="6" t="s">
        <v>1202</v>
      </c>
      <c r="P19" s="47" t="s">
        <v>1203</v>
      </c>
      <c r="Q19" s="6" t="s">
        <v>1097</v>
      </c>
      <c r="R19" s="6" t="s">
        <v>1204</v>
      </c>
      <c r="S19" s="6" t="s">
        <v>1205</v>
      </c>
      <c r="T19" s="6" t="s">
        <v>1100</v>
      </c>
      <c r="U19" s="6" t="s">
        <v>1197</v>
      </c>
      <c r="V19" s="6" t="s">
        <v>1198</v>
      </c>
      <c r="W19" s="6" t="s">
        <v>1206</v>
      </c>
    </row>
    <row r="20" customFormat="false" ht="93.75" hidden="false" customHeight="true" outlineLevel="0" collapsed="false">
      <c r="A20" s="7" t="s">
        <v>1188</v>
      </c>
      <c r="B20" s="7" t="s">
        <v>1189</v>
      </c>
      <c r="C20" s="7" t="s">
        <v>1190</v>
      </c>
      <c r="D20" s="7" t="s">
        <v>1207</v>
      </c>
      <c r="E20" s="7" t="n">
        <v>3</v>
      </c>
      <c r="F20" s="7" t="n">
        <v>4</v>
      </c>
      <c r="G20" s="7" t="n">
        <v>4</v>
      </c>
      <c r="H20" s="7" t="n">
        <v>3</v>
      </c>
      <c r="I20" s="7" t="n">
        <v>2</v>
      </c>
      <c r="J20" s="7" t="n">
        <v>3</v>
      </c>
      <c r="K20" s="44" t="n">
        <f aca="false">IF(COUNT(E20:J20)&lt;6,"n/s",E20*'Scoring &amp; Evidence Rules'!$C$10+F20*'Scoring &amp; Evidence Rules'!$C$11+G20*'Scoring &amp; Evidence Rules'!$C$12+H20*'Scoring &amp; Evidence Rules'!$C$13+I20*'Scoring &amp; Evidence Rules'!$C$14+J20*'Scoring &amp; Evidence Rules'!$C$15)</f>
        <v>3.25</v>
      </c>
      <c r="L20" s="7" t="str">
        <f aca="false">IF(NOT(ISNUMBER(K20)),"Not scored - no public evidence",IF(K20&gt;='Scoring &amp; Evidence Rules'!$C$24,"Promising but gaps remain","Partial / uncertain fit"))</f>
        <v>Promising but gaps remain</v>
      </c>
      <c r="M20" s="7" t="s">
        <v>1124</v>
      </c>
      <c r="N20" s="7" t="s">
        <v>1208</v>
      </c>
      <c r="O20" s="7" t="s">
        <v>1209</v>
      </c>
      <c r="P20" s="45" t="s">
        <v>1210</v>
      </c>
      <c r="Q20" s="7" t="s">
        <v>1097</v>
      </c>
      <c r="R20" s="7" t="s">
        <v>1211</v>
      </c>
      <c r="S20" s="7" t="s">
        <v>1212</v>
      </c>
      <c r="T20" s="7" t="s">
        <v>1100</v>
      </c>
      <c r="U20" s="7" t="s">
        <v>1197</v>
      </c>
      <c r="V20" s="7" t="s">
        <v>1198</v>
      </c>
      <c r="W20" s="7" t="s">
        <v>1206</v>
      </c>
    </row>
    <row r="21" customFormat="false" ht="78.75" hidden="false" customHeight="true" outlineLevel="0" collapsed="false">
      <c r="A21" s="6" t="s">
        <v>1188</v>
      </c>
      <c r="B21" s="6" t="s">
        <v>1189</v>
      </c>
      <c r="C21" s="6" t="s">
        <v>1190</v>
      </c>
      <c r="D21" s="6" t="s">
        <v>1213</v>
      </c>
      <c r="E21" s="6"/>
      <c r="F21" s="6"/>
      <c r="G21" s="6"/>
      <c r="H21" s="6"/>
      <c r="I21" s="6"/>
      <c r="J21" s="6"/>
      <c r="K21" s="46" t="str">
        <f aca="false">IF(COUNT(E21:J21)&lt;6,"n/s",E21*'Scoring &amp; Evidence Rules'!$C$10+F21*'Scoring &amp; Evidence Rules'!$C$11+G21*'Scoring &amp; Evidence Rules'!$C$12+H21*'Scoring &amp; Evidence Rules'!$C$13+I21*'Scoring &amp; Evidence Rules'!$C$14+J21*'Scoring &amp; Evidence Rules'!$C$15)</f>
        <v>n/s</v>
      </c>
      <c r="L21" s="6" t="str">
        <f aca="false">IF(NOT(ISNUMBER(K21)),"Not scored - no public evidence",IF(K21&gt;='Scoring &amp; Evidence Rules'!$C$24,"Promising but gaps remain","Partial / uncertain fit"))</f>
        <v>Not scored - no public evidence</v>
      </c>
      <c r="M21" s="6" t="s">
        <v>1214</v>
      </c>
      <c r="N21" s="6" t="s">
        <v>1215</v>
      </c>
      <c r="O21" s="6" t="s">
        <v>1216</v>
      </c>
      <c r="P21" s="47" t="s">
        <v>1217</v>
      </c>
      <c r="Q21" s="6" t="s">
        <v>1097</v>
      </c>
      <c r="R21" s="6" t="s">
        <v>1218</v>
      </c>
      <c r="S21" s="6" t="s">
        <v>1219</v>
      </c>
      <c r="T21" s="6" t="s">
        <v>1100</v>
      </c>
      <c r="U21" s="6" t="s">
        <v>1197</v>
      </c>
      <c r="V21" s="6" t="s">
        <v>1198</v>
      </c>
      <c r="W21" s="6" t="s">
        <v>1220</v>
      </c>
    </row>
    <row r="22" customFormat="false" ht="93.75" hidden="false" customHeight="true" outlineLevel="0" collapsed="false">
      <c r="A22" s="7" t="s">
        <v>1221</v>
      </c>
      <c r="B22" s="7" t="s">
        <v>1222</v>
      </c>
      <c r="C22" s="7" t="s">
        <v>1223</v>
      </c>
      <c r="D22" s="7" t="s">
        <v>1224</v>
      </c>
      <c r="E22" s="7" t="n">
        <v>3</v>
      </c>
      <c r="F22" s="7" t="n">
        <v>3</v>
      </c>
      <c r="G22" s="7" t="n">
        <v>5</v>
      </c>
      <c r="H22" s="7" t="n">
        <v>3</v>
      </c>
      <c r="I22" s="7" t="n">
        <v>2</v>
      </c>
      <c r="J22" s="7" t="n">
        <v>3</v>
      </c>
      <c r="K22" s="44" t="n">
        <f aca="false">IF(COUNT(E22:J22)&lt;6,"n/s",E22*'Scoring &amp; Evidence Rules'!$C$10+F22*'Scoring &amp; Evidence Rules'!$C$11+G22*'Scoring &amp; Evidence Rules'!$C$12+H22*'Scoring &amp; Evidence Rules'!$C$13+I22*'Scoring &amp; Evidence Rules'!$C$14+J22*'Scoring &amp; Evidence Rules'!$C$15)</f>
        <v>3.2</v>
      </c>
      <c r="L22" s="7" t="str">
        <f aca="false">IF(NOT(ISNUMBER(K22)),"Not scored - no public evidence",IF(K22&gt;='Scoring &amp; Evidence Rules'!$C$24,"Promising but gaps remain","Partial / uncertain fit"))</f>
        <v>Partial / uncertain fit</v>
      </c>
      <c r="M22" s="7" t="s">
        <v>1124</v>
      </c>
      <c r="N22" s="7" t="s">
        <v>1225</v>
      </c>
      <c r="O22" s="7" t="s">
        <v>1226</v>
      </c>
      <c r="P22" s="45" t="s">
        <v>1227</v>
      </c>
      <c r="Q22" s="7" t="s">
        <v>1097</v>
      </c>
      <c r="R22" s="7" t="s">
        <v>1228</v>
      </c>
      <c r="S22" s="7" t="s">
        <v>1129</v>
      </c>
      <c r="T22" s="7" t="s">
        <v>1100</v>
      </c>
      <c r="U22" s="7" t="s">
        <v>1197</v>
      </c>
      <c r="V22" s="7" t="s">
        <v>1229</v>
      </c>
      <c r="W22" s="7" t="s">
        <v>1230</v>
      </c>
    </row>
    <row r="23" customFormat="false" ht="78.75" hidden="false" customHeight="true" outlineLevel="0" collapsed="false">
      <c r="A23" s="6" t="s">
        <v>1221</v>
      </c>
      <c r="B23" s="6" t="s">
        <v>1222</v>
      </c>
      <c r="C23" s="6" t="s">
        <v>1223</v>
      </c>
      <c r="D23" s="6" t="s">
        <v>1231</v>
      </c>
      <c r="E23" s="6" t="n">
        <v>3</v>
      </c>
      <c r="F23" s="6" t="n">
        <v>3</v>
      </c>
      <c r="G23" s="6" t="n">
        <v>3</v>
      </c>
      <c r="H23" s="6" t="n">
        <v>2</v>
      </c>
      <c r="I23" s="6" t="n">
        <v>2</v>
      </c>
      <c r="J23" s="6" t="n">
        <v>3</v>
      </c>
      <c r="K23" s="46" t="n">
        <f aca="false">IF(COUNT(E23:J23)&lt;6,"n/s",E23*'Scoring &amp; Evidence Rules'!$C$10+F23*'Scoring &amp; Evidence Rules'!$C$11+G23*'Scoring &amp; Evidence Rules'!$C$12+H23*'Scoring &amp; Evidence Rules'!$C$13+I23*'Scoring &amp; Evidence Rules'!$C$14+J23*'Scoring &amp; Evidence Rules'!$C$15)</f>
        <v>2.75</v>
      </c>
      <c r="L23" s="6" t="str">
        <f aca="false">IF(NOT(ISNUMBER(K23)),"Not scored - no public evidence",IF(K23&gt;='Scoring &amp; Evidence Rules'!$C$24,"Promising but gaps remain","Partial / uncertain fit"))</f>
        <v>Partial / uncertain fit</v>
      </c>
      <c r="M23" s="6" t="s">
        <v>1093</v>
      </c>
      <c r="N23" s="6" t="s">
        <v>1232</v>
      </c>
      <c r="O23" s="6" t="s">
        <v>1233</v>
      </c>
      <c r="P23" s="47" t="s">
        <v>1234</v>
      </c>
      <c r="Q23" s="6" t="s">
        <v>1097</v>
      </c>
      <c r="R23" s="6" t="s">
        <v>1235</v>
      </c>
      <c r="S23" s="6" t="s">
        <v>1236</v>
      </c>
      <c r="T23" s="6" t="s">
        <v>1100</v>
      </c>
      <c r="U23" s="6" t="s">
        <v>1197</v>
      </c>
      <c r="V23" s="6" t="s">
        <v>1229</v>
      </c>
      <c r="W23" s="6" t="s">
        <v>1237</v>
      </c>
    </row>
    <row r="24" customFormat="false" ht="93.75" hidden="false" customHeight="true" outlineLevel="0" collapsed="false">
      <c r="A24" s="7" t="s">
        <v>1238</v>
      </c>
      <c r="B24" s="7" t="s">
        <v>1239</v>
      </c>
      <c r="C24" s="7" t="s">
        <v>1240</v>
      </c>
      <c r="D24" s="7" t="s">
        <v>1241</v>
      </c>
      <c r="E24" s="7" t="n">
        <v>4</v>
      </c>
      <c r="F24" s="7" t="n">
        <v>4</v>
      </c>
      <c r="G24" s="7" t="n">
        <v>5</v>
      </c>
      <c r="H24" s="7" t="n">
        <v>3</v>
      </c>
      <c r="I24" s="7" t="n">
        <v>3</v>
      </c>
      <c r="J24" s="7" t="n">
        <v>3</v>
      </c>
      <c r="K24" s="44" t="n">
        <f aca="false">IF(COUNT(E24:J24)&lt;6,"n/s",E24*'Scoring &amp; Evidence Rules'!$C$10+F24*'Scoring &amp; Evidence Rules'!$C$11+G24*'Scoring &amp; Evidence Rules'!$C$12+H24*'Scoring &amp; Evidence Rules'!$C$13+I24*'Scoring &amp; Evidence Rules'!$C$14+J24*'Scoring &amp; Evidence Rules'!$C$15)</f>
        <v>3.8</v>
      </c>
      <c r="L24" s="7" t="str">
        <f aca="false">IF(NOT(ISNUMBER(K24)),"Not scored - no public evidence",IF(K24&gt;='Scoring &amp; Evidence Rules'!$C$24,"Promising but gaps remain","Partial / uncertain fit"))</f>
        <v>Promising but gaps remain</v>
      </c>
      <c r="M24" s="7" t="s">
        <v>254</v>
      </c>
      <c r="N24" s="7" t="s">
        <v>1242</v>
      </c>
      <c r="O24" s="7" t="s">
        <v>1243</v>
      </c>
      <c r="P24" s="45" t="s">
        <v>1244</v>
      </c>
      <c r="Q24" s="7" t="s">
        <v>1097</v>
      </c>
      <c r="R24" s="7" t="s">
        <v>1245</v>
      </c>
      <c r="S24" s="7" t="s">
        <v>1246</v>
      </c>
      <c r="T24" s="7" t="s">
        <v>1100</v>
      </c>
      <c r="U24" s="7" t="s">
        <v>1197</v>
      </c>
      <c r="V24" s="7" t="s">
        <v>1247</v>
      </c>
      <c r="W24" s="7" t="s">
        <v>1248</v>
      </c>
    </row>
    <row r="25" customFormat="false" ht="78.75" hidden="false" customHeight="true" outlineLevel="0" collapsed="false">
      <c r="A25" s="6" t="s">
        <v>1238</v>
      </c>
      <c r="B25" s="6" t="s">
        <v>1239</v>
      </c>
      <c r="C25" s="6" t="s">
        <v>1240</v>
      </c>
      <c r="D25" s="6" t="s">
        <v>1249</v>
      </c>
      <c r="E25" s="6" t="n">
        <v>4</v>
      </c>
      <c r="F25" s="6" t="n">
        <v>4</v>
      </c>
      <c r="G25" s="6" t="n">
        <v>3</v>
      </c>
      <c r="H25" s="6" t="n">
        <v>3</v>
      </c>
      <c r="I25" s="6" t="n">
        <v>3</v>
      </c>
      <c r="J25" s="6" t="n">
        <v>3</v>
      </c>
      <c r="K25" s="46" t="n">
        <f aca="false">IF(COUNT(E25:J25)&lt;6,"n/s",E25*'Scoring &amp; Evidence Rules'!$C$10+F25*'Scoring &amp; Evidence Rules'!$C$11+G25*'Scoring &amp; Evidence Rules'!$C$12+H25*'Scoring &amp; Evidence Rules'!$C$13+I25*'Scoring &amp; Evidence Rules'!$C$14+J25*'Scoring &amp; Evidence Rules'!$C$15)</f>
        <v>3.5</v>
      </c>
      <c r="L25" s="6" t="str">
        <f aca="false">IF(NOT(ISNUMBER(K25)),"Not scored - no public evidence",IF(K25&gt;='Scoring &amp; Evidence Rules'!$C$24,"Promising but gaps remain","Partial / uncertain fit"))</f>
        <v>Promising but gaps remain</v>
      </c>
      <c r="M25" s="6" t="s">
        <v>254</v>
      </c>
      <c r="N25" s="6" t="s">
        <v>1250</v>
      </c>
      <c r="O25" s="6" t="s">
        <v>1251</v>
      </c>
      <c r="P25" s="47" t="s">
        <v>1252</v>
      </c>
      <c r="Q25" s="6" t="s">
        <v>1097</v>
      </c>
      <c r="R25" s="6" t="s">
        <v>1253</v>
      </c>
      <c r="S25" s="6" t="s">
        <v>1099</v>
      </c>
      <c r="T25" s="6" t="s">
        <v>1100</v>
      </c>
      <c r="U25" s="6" t="s">
        <v>1197</v>
      </c>
      <c r="V25" s="6" t="s">
        <v>1247</v>
      </c>
      <c r="W25" s="6" t="s">
        <v>1206</v>
      </c>
    </row>
  </sheetData>
  <autoFilter ref="A3:W25"/>
  <mergeCells count="2">
    <mergeCell ref="A1:W1"/>
    <mergeCell ref="A2:W2"/>
  </mergeCells>
  <hyperlinks>
    <hyperlink ref="P4" r:id="rId1" display="https://www.semikron-danfoss.com/products/power-modules"/>
    <hyperlink ref="P5" r:id="rId2" display="https://www.vincotech.com/applications/industrial-drives"/>
    <hyperlink ref="P6" r:id="rId3" display="https://www.semikron-danfoss.com/products/power-modules"/>
    <hyperlink ref="P7" r:id="rId4" display="https://www.vincotech.com/"/>
    <hyperlink ref="P8" r:id="rId5" display="https://www.jabil.com/capability/electronics.html"/>
    <hyperlink ref="P9" r:id="rId6" display="https://www.sanmina.com/contract-manufacturing-design/pcb-assembly-smt/"/>
    <hyperlink ref="P10" r:id="rId7" display="https://product.tdk.com/en/products/capacitor/film/dc-link/index.html"/>
    <hyperlink ref="P11" r:id="rId8" display="https://www.vishay.com/en/capacitors/film/dc-link/"/>
    <hyperlink ref="P12" r:id="rId9" display="https://www.nvent.com/en-in/hoffman"/>
    <hyperlink ref="P13" r:id="rId10" display="https://www.hammfg.com/electrical/products/aluminum"/>
    <hyperlink ref="P14" r:id="rId11" display="https://www.boydcorp.com/thermal/liquid-cooling-systems.html"/>
    <hyperlink ref="P15" r:id="rId12" display="https://www.modine.com/news/how-it-works-electronics-cooling-package/"/>
    <hyperlink ref="P16" r:id="rId13" display="https://www.jabil.com/capability/electronics.html"/>
    <hyperlink ref="P17" r:id="rId14" display="https://www.sanmina.com/contract-manufacturing-design/pcb-assembly-smt/"/>
    <hyperlink ref="P18" r:id="rId15" display="https://www.infineon.com/products/power/igbt ; https://www.infineon.com/products/power/mosfet/silicon-carbide"/>
    <hyperlink ref="P19" r:id="rId16" display="https://www.st.com/content/dam/static-page/events/apec-2024/demo-apec-24-next-gen-pwr-discretes.pdf"/>
    <hyperlink ref="P20" r:id="rId17" display="https://onsemi.com/products/discrete-power-modules/silicon-carbide-sic/silicon-carbide-sic-mosfets-bare-die"/>
    <hyperlink ref="P22" r:id="rId18" display="https://www.ttm.com/en/markets-we-serve/industrial-and-instrumentation/capabilities"/>
    <hyperlink ref="P23" r:id="rId19" display="https://www.we-online.com/en/index"/>
    <hyperlink ref="P24" r:id="rId20" display="https://www.films.toray/en/products/torayfan/"/>
    <hyperlink ref="P25" r:id="rId21" display="https://www.steinerfilm.com/p-bopp"/>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tableParts>
    <tablePart r:id="rId2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3" min="2" style="0" width="28"/>
    <col collapsed="false" customWidth="true" hidden="false" outlineLevel="0" max="5" min="4" style="0" width="52"/>
  </cols>
  <sheetData>
    <row r="1" customFormat="false" ht="27.75" hidden="false" customHeight="true" outlineLevel="0" collapsed="false">
      <c r="A1" s="1" t="s">
        <v>1254</v>
      </c>
      <c r="B1" s="1"/>
      <c r="C1" s="1"/>
      <c r="D1" s="1"/>
      <c r="E1" s="1"/>
    </row>
    <row r="2" customFormat="false" ht="31.5" hidden="false" customHeight="true" outlineLevel="0" collapsed="false">
      <c r="A2" s="2" t="s">
        <v>1255</v>
      </c>
      <c r="B2" s="2"/>
      <c r="C2" s="2"/>
      <c r="D2" s="2"/>
      <c r="E2" s="2"/>
    </row>
    <row r="3" customFormat="false" ht="31.5" hidden="false" customHeight="true" outlineLevel="0" collapsed="false">
      <c r="A3" s="3" t="s">
        <v>1256</v>
      </c>
      <c r="B3" s="3" t="s">
        <v>1257</v>
      </c>
      <c r="C3" s="3" t="s">
        <v>1258</v>
      </c>
      <c r="D3" s="3" t="s">
        <v>1259</v>
      </c>
      <c r="E3" s="3" t="s">
        <v>1260</v>
      </c>
    </row>
    <row r="4" customFormat="false" ht="48.75" hidden="false" customHeight="true" outlineLevel="0" collapsed="false">
      <c r="A4" s="4" t="s">
        <v>1261</v>
      </c>
      <c r="B4" s="4" t="s">
        <v>193</v>
      </c>
      <c r="C4" s="4" t="s">
        <v>1262</v>
      </c>
      <c r="D4" s="4" t="s">
        <v>1263</v>
      </c>
      <c r="E4" s="4" t="s">
        <v>1264</v>
      </c>
    </row>
    <row r="5" customFormat="false" ht="30" hidden="false" customHeight="true" outlineLevel="0" collapsed="false">
      <c r="A5" s="5" t="s">
        <v>1261</v>
      </c>
      <c r="B5" s="5" t="s">
        <v>135</v>
      </c>
      <c r="C5" s="5" t="s">
        <v>1265</v>
      </c>
      <c r="D5" s="5" t="s">
        <v>1266</v>
      </c>
      <c r="E5" s="5" t="s">
        <v>1267</v>
      </c>
    </row>
    <row r="6" customFormat="false" ht="33.75" hidden="false" customHeight="true" outlineLevel="0" collapsed="false">
      <c r="A6" s="4" t="s">
        <v>1261</v>
      </c>
      <c r="B6" s="4" t="s">
        <v>119</v>
      </c>
      <c r="C6" s="4" t="s">
        <v>1268</v>
      </c>
      <c r="D6" s="4" t="s">
        <v>1269</v>
      </c>
      <c r="E6" s="4" t="s">
        <v>1270</v>
      </c>
    </row>
    <row r="7" customFormat="false" ht="30" hidden="false" customHeight="true" outlineLevel="0" collapsed="false">
      <c r="A7" s="5" t="s">
        <v>1261</v>
      </c>
      <c r="B7" s="5" t="s">
        <v>169</v>
      </c>
      <c r="C7" s="5" t="s">
        <v>1271</v>
      </c>
      <c r="D7" s="5" t="s">
        <v>1272</v>
      </c>
      <c r="E7" s="5" t="s">
        <v>1273</v>
      </c>
    </row>
    <row r="8" customFormat="false" ht="33.75" hidden="false" customHeight="true" outlineLevel="0" collapsed="false">
      <c r="A8" s="4" t="s">
        <v>1261</v>
      </c>
      <c r="B8" s="4" t="s">
        <v>1274</v>
      </c>
      <c r="C8" s="4" t="s">
        <v>1275</v>
      </c>
      <c r="D8" s="4" t="s">
        <v>1276</v>
      </c>
      <c r="E8" s="4" t="s">
        <v>1277</v>
      </c>
    </row>
    <row r="9" customFormat="false" ht="48.75" hidden="false" customHeight="true" outlineLevel="0" collapsed="false">
      <c r="A9" s="5" t="s">
        <v>1278</v>
      </c>
      <c r="B9" s="5" t="s">
        <v>1279</v>
      </c>
      <c r="C9" s="5" t="s">
        <v>1280</v>
      </c>
      <c r="D9" s="5" t="s">
        <v>1281</v>
      </c>
      <c r="E9" s="5" t="s">
        <v>1282</v>
      </c>
    </row>
    <row r="10" customFormat="false" ht="33.75" hidden="false" customHeight="true" outlineLevel="0" collapsed="false">
      <c r="A10" s="4" t="s">
        <v>1283</v>
      </c>
      <c r="B10" s="4" t="s">
        <v>1284</v>
      </c>
      <c r="C10" s="4" t="n">
        <v>0.3</v>
      </c>
      <c r="D10" s="4" t="s">
        <v>1285</v>
      </c>
      <c r="E10" s="4" t="s">
        <v>1286</v>
      </c>
    </row>
    <row r="11" customFormat="false" ht="48.75" hidden="false" customHeight="true" outlineLevel="0" collapsed="false">
      <c r="A11" s="5" t="s">
        <v>1283</v>
      </c>
      <c r="B11" s="5" t="s">
        <v>1287</v>
      </c>
      <c r="C11" s="5" t="n">
        <v>0.2</v>
      </c>
      <c r="D11" s="5" t="s">
        <v>1288</v>
      </c>
      <c r="E11" s="5" t="s">
        <v>1289</v>
      </c>
    </row>
    <row r="12" customFormat="false" ht="33.75" hidden="false" customHeight="true" outlineLevel="0" collapsed="false">
      <c r="A12" s="4" t="s">
        <v>1283</v>
      </c>
      <c r="B12" s="4" t="s">
        <v>1290</v>
      </c>
      <c r="C12" s="4" t="n">
        <v>0.15</v>
      </c>
      <c r="D12" s="4" t="s">
        <v>1291</v>
      </c>
      <c r="E12" s="4" t="s">
        <v>1292</v>
      </c>
    </row>
    <row r="13" customFormat="false" ht="33.75" hidden="false" customHeight="true" outlineLevel="0" collapsed="false">
      <c r="A13" s="5" t="s">
        <v>1283</v>
      </c>
      <c r="B13" s="5" t="s">
        <v>1293</v>
      </c>
      <c r="C13" s="5" t="n">
        <v>0.15</v>
      </c>
      <c r="D13" s="5" t="s">
        <v>1294</v>
      </c>
      <c r="E13" s="5" t="s">
        <v>1295</v>
      </c>
    </row>
    <row r="14" customFormat="false" ht="33.75" hidden="false" customHeight="true" outlineLevel="0" collapsed="false">
      <c r="A14" s="4" t="s">
        <v>1283</v>
      </c>
      <c r="B14" s="4" t="s">
        <v>1296</v>
      </c>
      <c r="C14" s="4" t="n">
        <v>0.1</v>
      </c>
      <c r="D14" s="4" t="s">
        <v>1297</v>
      </c>
      <c r="E14" s="4" t="s">
        <v>1298</v>
      </c>
    </row>
    <row r="15" customFormat="false" ht="33.75" hidden="false" customHeight="true" outlineLevel="0" collapsed="false">
      <c r="A15" s="5" t="s">
        <v>1283</v>
      </c>
      <c r="B15" s="5" t="s">
        <v>1299</v>
      </c>
      <c r="C15" s="5" t="n">
        <v>0.1</v>
      </c>
      <c r="D15" s="5" t="s">
        <v>1300</v>
      </c>
      <c r="E15" s="5" t="s">
        <v>1301</v>
      </c>
    </row>
    <row r="16" customFormat="false" ht="33.75" hidden="false" customHeight="true" outlineLevel="0" collapsed="false">
      <c r="A16" s="4" t="s">
        <v>1283</v>
      </c>
      <c r="B16" s="4" t="s">
        <v>1302</v>
      </c>
      <c r="C16" s="4" t="s">
        <v>1303</v>
      </c>
      <c r="D16" s="4" t="s">
        <v>1304</v>
      </c>
      <c r="E16" s="4" t="s">
        <v>1305</v>
      </c>
    </row>
    <row r="17" customFormat="false" ht="33.75" hidden="false" customHeight="true" outlineLevel="0" collapsed="false">
      <c r="A17" s="5" t="s">
        <v>1306</v>
      </c>
      <c r="B17" s="5" t="s">
        <v>1307</v>
      </c>
      <c r="C17" s="5" t="s">
        <v>1308</v>
      </c>
      <c r="D17" s="5" t="s">
        <v>1309</v>
      </c>
      <c r="E17" s="5" t="s">
        <v>1310</v>
      </c>
    </row>
    <row r="18" customFormat="false" ht="30" hidden="false" customHeight="true" outlineLevel="0" collapsed="false">
      <c r="A18" s="4" t="s">
        <v>1311</v>
      </c>
      <c r="B18" s="4" t="s">
        <v>1312</v>
      </c>
      <c r="C18" s="4" t="s">
        <v>1313</v>
      </c>
      <c r="D18" s="4" t="s">
        <v>1314</v>
      </c>
      <c r="E18" s="4" t="s">
        <v>1315</v>
      </c>
    </row>
    <row r="19" customFormat="false" ht="33.75" hidden="false" customHeight="true" outlineLevel="0" collapsed="false">
      <c r="A19" s="5" t="s">
        <v>1311</v>
      </c>
      <c r="B19" s="5" t="s">
        <v>1316</v>
      </c>
      <c r="C19" s="5" t="s">
        <v>1317</v>
      </c>
      <c r="D19" s="5" t="s">
        <v>1318</v>
      </c>
      <c r="E19" s="5" t="s">
        <v>1319</v>
      </c>
    </row>
    <row r="20" customFormat="false" ht="48.75" hidden="false" customHeight="true" outlineLevel="0" collapsed="false">
      <c r="A20" s="4" t="s">
        <v>1311</v>
      </c>
      <c r="B20" s="4" t="s">
        <v>1320</v>
      </c>
      <c r="C20" s="4" t="s">
        <v>1321</v>
      </c>
      <c r="D20" s="4" t="s">
        <v>1322</v>
      </c>
      <c r="E20" s="4" t="s">
        <v>1323</v>
      </c>
    </row>
    <row r="21" customFormat="false" ht="63.75" hidden="false" customHeight="true" outlineLevel="0" collapsed="false">
      <c r="A21" s="6" t="s">
        <v>1261</v>
      </c>
      <c r="B21" s="6" t="s">
        <v>1324</v>
      </c>
      <c r="C21" s="6" t="s">
        <v>1325</v>
      </c>
      <c r="D21" s="6" t="s">
        <v>1326</v>
      </c>
      <c r="E21" s="6" t="s">
        <v>1327</v>
      </c>
    </row>
    <row r="22" customFormat="false" ht="48.75" hidden="false" customHeight="true" outlineLevel="0" collapsed="false">
      <c r="A22" s="7" t="s">
        <v>1278</v>
      </c>
      <c r="B22" s="7" t="s">
        <v>1328</v>
      </c>
      <c r="C22" s="7" t="s">
        <v>1329</v>
      </c>
      <c r="D22" s="7" t="s">
        <v>1330</v>
      </c>
      <c r="E22" s="7" t="s">
        <v>1331</v>
      </c>
    </row>
    <row r="23" customFormat="false" ht="48.75" hidden="false" customHeight="true" outlineLevel="0" collapsed="false">
      <c r="A23" s="6" t="s">
        <v>1306</v>
      </c>
      <c r="B23" s="6" t="s">
        <v>1332</v>
      </c>
      <c r="C23" s="6" t="s">
        <v>1333</v>
      </c>
      <c r="D23" s="6" t="s">
        <v>1334</v>
      </c>
      <c r="E23" s="6" t="s">
        <v>1335</v>
      </c>
    </row>
    <row r="24" customFormat="false" ht="63.75" hidden="false" customHeight="true" outlineLevel="0" collapsed="false">
      <c r="A24" s="7" t="s">
        <v>1283</v>
      </c>
      <c r="B24" s="7" t="s">
        <v>1336</v>
      </c>
      <c r="C24" s="48" t="n">
        <v>3.25</v>
      </c>
      <c r="D24" s="7" t="s">
        <v>1337</v>
      </c>
      <c r="E24" s="7" t="s">
        <v>1338</v>
      </c>
    </row>
    <row r="25" customFormat="false" ht="33.75" hidden="false" customHeight="true" outlineLevel="0" collapsed="false">
      <c r="A25" s="6" t="s">
        <v>1311</v>
      </c>
      <c r="B25" s="6" t="s">
        <v>1339</v>
      </c>
      <c r="C25" s="6" t="s">
        <v>1340</v>
      </c>
      <c r="D25" s="6" t="s">
        <v>1341</v>
      </c>
      <c r="E25" s="6" t="s">
        <v>1342</v>
      </c>
    </row>
    <row r="26" customFormat="false" ht="48.75" hidden="false" customHeight="true" outlineLevel="0" collapsed="false">
      <c r="A26" s="7" t="s">
        <v>1283</v>
      </c>
      <c r="B26" s="7" t="s">
        <v>1343</v>
      </c>
      <c r="C26" s="7" t="s">
        <v>1344</v>
      </c>
      <c r="D26" s="7" t="s">
        <v>1345</v>
      </c>
      <c r="E26" s="7" t="s">
        <v>1346</v>
      </c>
    </row>
  </sheetData>
  <autoFilter ref="A3:E26"/>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2026-10-04T11:22:38Z</dcterms:created>
  <dc:creator>OpenAI</dc:creator>
  <dc:description/>
  <dc:language>en-US</dc:language>
  <cp:lastModifiedBy/>
  <dcterms:modified xsi:type="dcterms:W3CDTF">2026-10-04T12:11:53Z</dcterms:modified>
  <cp:revision>0</cp:revision>
  <dc:subject>Consolidated source data and useful derived assessments for CRO dashboard creation</dc:subject>
  <dc:title>NovaDrive Clean Research Data Pack</dc:title>
</cp:coreProperties>
</file>

<file path=docProps/custom.xml><?xml version="1.0" encoding="utf-8"?>
<Properties xmlns="http://schemas.openxmlformats.org/officeDocument/2006/custom-properties" xmlns:vt="http://schemas.openxmlformats.org/officeDocument/2006/docPropsVTypes"/>
</file>